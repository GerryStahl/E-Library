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GStahl2/Library/CloudStorage/Dropbox/Mac (3)/Desktop/"/>
    </mc:Choice>
  </mc:AlternateContent>
  <xr:revisionPtr revIDLastSave="0" documentId="8_{C382BB2C-DE21-F34B-9E17-D8879E611AC3}" xr6:coauthVersionLast="47" xr6:coauthVersionMax="47" xr10:uidLastSave="{00000000-0000-0000-0000-000000000000}"/>
  <bookViews>
    <workbookView xWindow="4220" yWindow="680" windowWidth="25180" windowHeight="18960" tabRatio="500" xr2:uid="{00000000-000D-0000-FFFF-FFFF00000000}"/>
  </bookViews>
  <sheets>
    <sheet name="Lulu" sheetId="1" r:id="rId1"/>
    <sheet name="Amazon" sheetId="2" r:id="rId2"/>
    <sheet name="revised pubs" sheetId="3" r:id="rId3"/>
  </sheets>
  <definedNames>
    <definedName name="_xlnm.Print_Area" localSheetId="0">Lulu!$A$3:$N$33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3" i="1" l="1"/>
  <c r="G33" i="1"/>
  <c r="F33" i="1"/>
  <c r="K26" i="2" l="1"/>
  <c r="H26" i="2"/>
  <c r="J26" i="2"/>
  <c r="E25" i="3"/>
  <c r="J24" i="3"/>
  <c r="I24" i="3"/>
  <c r="H24" i="3"/>
  <c r="F24" i="3"/>
  <c r="E24" i="3"/>
  <c r="D24" i="3"/>
  <c r="C24" i="3"/>
  <c r="G26" i="2"/>
  <c r="F26" i="2"/>
  <c r="G65" i="1"/>
</calcChain>
</file>

<file path=xl/sharedStrings.xml><?xml version="1.0" encoding="utf-8"?>
<sst xmlns="http://schemas.openxmlformats.org/spreadsheetml/2006/main" count="462" uniqueCount="216">
  <si>
    <t>marx</t>
  </si>
  <si>
    <t>tacit</t>
  </si>
  <si>
    <t>gc</t>
  </si>
  <si>
    <t>svmt</t>
  </si>
  <si>
    <t>euclid</t>
  </si>
  <si>
    <t>analysis</t>
  </si>
  <si>
    <t>philosophy</t>
  </si>
  <si>
    <t>software</t>
  </si>
  <si>
    <t>cscl</t>
  </si>
  <si>
    <t>math</t>
  </si>
  <si>
    <t>dynamic</t>
  </si>
  <si>
    <t>science</t>
  </si>
  <si>
    <t>theory</t>
  </si>
  <si>
    <t>global</t>
  </si>
  <si>
    <t>ijcscl</t>
  </si>
  <si>
    <t>proposals</t>
  </si>
  <si>
    <t>cover</t>
  </si>
  <si>
    <t>cscl2011</t>
  </si>
  <si>
    <t>Marx and Heidegger</t>
  </si>
  <si>
    <t>Group Cognition</t>
  </si>
  <si>
    <t>Studying Virtual Math Teams</t>
  </si>
  <si>
    <t>Translating Euclid</t>
  </si>
  <si>
    <t>Essays in Personalizable Software</t>
  </si>
  <si>
    <t>Essays in Computer-Supported Collaborative Learning</t>
  </si>
  <si>
    <t>Essays in Collaborative Dynamic Geometry</t>
  </si>
  <si>
    <t>cscl2002</t>
  </si>
  <si>
    <t>Proposals for Research</t>
  </si>
  <si>
    <t>Global Introduction to CSCL</t>
  </si>
  <si>
    <t>Editorial Introductions to ijCSCL</t>
  </si>
  <si>
    <t>Proceedings of CSCL 2002</t>
  </si>
  <si>
    <t>Proceedings of CSCL 2011</t>
  </si>
  <si>
    <t>Tacit and Explicit Understanding in Computer Support</t>
  </si>
  <si>
    <t>Essays in Social Philosophy</t>
  </si>
  <si>
    <t>topics</t>
  </si>
  <si>
    <t>Adventures in Dynamic Geometry</t>
  </si>
  <si>
    <t>Essays in Philosophy of Group Cognition</t>
  </si>
  <si>
    <t>Overview and Autobiographical Essays</t>
  </si>
  <si>
    <t>Essays in Group-Cognitive Science</t>
  </si>
  <si>
    <t>Essays in Online Mathematics Interaction</t>
  </si>
  <si>
    <t>978-1-329-85650-9</t>
  </si>
  <si>
    <t>ISBN ebook - Lulu</t>
  </si>
  <si>
    <t>ISBN paperback - Lulu</t>
  </si>
  <si>
    <t>978-1-329-85858-9</t>
  </si>
  <si>
    <t>978-1-329-85897-8</t>
  </si>
  <si>
    <t>978-1-329-85906-7</t>
  </si>
  <si>
    <t>978-1-329-85913-5</t>
  </si>
  <si>
    <t>978-1-329-85917-3</t>
  </si>
  <si>
    <t>978-1-329-85952-4</t>
  </si>
  <si>
    <t>978-1-329-85956-2</t>
  </si>
  <si>
    <t>978-1-329-85963-0</t>
  </si>
  <si>
    <t>978-1-329-85964-7</t>
  </si>
  <si>
    <t>978-1-329-86123-7</t>
  </si>
  <si>
    <t>978-1-329-86134-3</t>
  </si>
  <si>
    <t xml:space="preserve">978-0-557-67822-8 </t>
  </si>
  <si>
    <t>978-1-329-86143-5</t>
  </si>
  <si>
    <t>978-0-557-78796-8</t>
  </si>
  <si>
    <t>978-1-329-85404-8</t>
  </si>
  <si>
    <t>978-1-329-86159-6</t>
  </si>
  <si>
    <t> pages</t>
  </si>
  <si>
    <t>overview</t>
  </si>
  <si>
    <t xml:space="preserve">978-1-329-59252-0 </t>
  </si>
  <si>
    <t xml:space="preserve">978-1-329-59379-4 </t>
  </si>
  <si>
    <t>978-1-329-86393-4</t>
  </si>
  <si>
    <t>Lulu</t>
  </si>
  <si>
    <t>from</t>
  </si>
  <si>
    <t>to</t>
  </si>
  <si>
    <t>eLibrary: "Gerry Stahl's Assembled Texts"</t>
  </si>
  <si>
    <t>hard</t>
  </si>
  <si>
    <t>pb</t>
  </si>
  <si>
    <t>kindle</t>
  </si>
  <si>
    <t>rent</t>
  </si>
  <si>
    <t>subscr</t>
  </si>
  <si>
    <t>reading order</t>
  </si>
  <si>
    <t>supplements to 1</t>
  </si>
  <si>
    <t>supplements to 3</t>
  </si>
  <si>
    <t>supplements to 5</t>
  </si>
  <si>
    <t>special</t>
  </si>
  <si>
    <t>total</t>
  </si>
  <si>
    <t>for Lulu</t>
  </si>
  <si>
    <t>for Smashbooks</t>
  </si>
  <si>
    <t>start sections on odd pages</t>
  </si>
  <si>
    <t>no headings, footers, page numbers, Contents</t>
  </si>
  <si>
    <t>no footnotes, no tables</t>
  </si>
  <si>
    <t>no cover page</t>
  </si>
  <si>
    <t>for PDF</t>
  </si>
  <si>
    <t>save as reduced size PDF</t>
  </si>
  <si>
    <t>978-1-329-59751-8</t>
  </si>
  <si>
    <t>print as PDF</t>
  </si>
  <si>
    <t>file</t>
  </si>
  <si>
    <t>title</t>
  </si>
  <si>
    <t xml:space="preserve">978-1-329-59771-6  </t>
  </si>
  <si>
    <t>Constructing Dynamic Triangles Together</t>
  </si>
  <si>
    <t>investigations</t>
  </si>
  <si>
    <t>form</t>
  </si>
  <si>
    <t>Works of 3-D Form</t>
  </si>
  <si>
    <t>Theoretical Investigations</t>
  </si>
  <si>
    <t>978-1-387-91541-5</t>
  </si>
  <si>
    <t>art work</t>
  </si>
  <si>
    <t>book 5</t>
  </si>
  <si>
    <t>Amazon</t>
  </si>
  <si>
    <t>coming soon?</t>
  </si>
  <si>
    <t>supplements to 2</t>
  </si>
  <si>
    <t>supplements to 4</t>
  </si>
  <si>
    <t>1 - dissertation</t>
  </si>
  <si>
    <t>2 - dissertation</t>
  </si>
  <si>
    <t>3 - book 1</t>
  </si>
  <si>
    <t>4 - book 2</t>
  </si>
  <si>
    <t>5 - book 3</t>
  </si>
  <si>
    <t>6 - book 4</t>
  </si>
  <si>
    <t>supplements to 6</t>
  </si>
  <si>
    <t>game</t>
  </si>
  <si>
    <t>Dynamic Geometry Game for Pods</t>
  </si>
  <si>
    <t>978-1-105-66372-7</t>
  </si>
  <si>
    <t>978-1-105-65409-1</t>
  </si>
  <si>
    <t>978-1-105-62537-4</t>
  </si>
  <si>
    <t>978-1-105-62548-0</t>
  </si>
  <si>
    <t>978-1-105-61697-6</t>
  </si>
  <si>
    <t>978-1-105-38981-8</t>
  </si>
  <si>
    <t>978-1-105-37252-0</t>
  </si>
  <si>
    <t>Lulu pre</t>
  </si>
  <si>
    <t>978-1-105-27058-1</t>
  </si>
  <si>
    <t>978-1-105-26869-4</t>
  </si>
  <si>
    <t>978-1-105-26107-7</t>
  </si>
  <si>
    <t>Lulu publications</t>
  </si>
  <si>
    <t>Smashwords publications</t>
  </si>
  <si>
    <t>Marx</t>
  </si>
  <si>
    <t>epub</t>
  </si>
  <si>
    <t>lulu</t>
  </si>
  <si>
    <t>ordered</t>
  </si>
  <si>
    <t>pdf</t>
  </si>
  <si>
    <t>mobi</t>
  </si>
  <si>
    <t>Tacit</t>
  </si>
  <si>
    <t>conflict</t>
  </si>
  <si>
    <t>no change</t>
  </si>
  <si>
    <t>GC</t>
  </si>
  <si>
    <t>pre-publication</t>
  </si>
  <si>
    <t>SVMT</t>
  </si>
  <si>
    <t>Euclid</t>
  </si>
  <si>
    <t>Analysis</t>
  </si>
  <si>
    <t>Philosophy</t>
  </si>
  <si>
    <t>Software</t>
  </si>
  <si>
    <t>CSCL</t>
  </si>
  <si>
    <t xml:space="preserve">Science </t>
  </si>
  <si>
    <t>Theory</t>
  </si>
  <si>
    <t>Math</t>
  </si>
  <si>
    <t>Dynamic</t>
  </si>
  <si>
    <t>Topics</t>
  </si>
  <si>
    <t>Global</t>
  </si>
  <si>
    <t>ijCSCL</t>
  </si>
  <si>
    <t>Proposals</t>
  </si>
  <si>
    <t>Overview</t>
  </si>
  <si>
    <t>Investigations</t>
  </si>
  <si>
    <t>Form</t>
  </si>
  <si>
    <t>do not publish</t>
  </si>
  <si>
    <t>Game</t>
  </si>
  <si>
    <t>#</t>
  </si>
  <si>
    <t>revised</t>
  </si>
  <si>
    <t>conflicts</t>
  </si>
  <si>
    <t>revised publications in June 2021</t>
  </si>
  <si>
    <t>Smashwords epubs</t>
  </si>
  <si>
    <t>eLibrary pdf, epub, mobi</t>
  </si>
  <si>
    <t>gc_pre</t>
  </si>
  <si>
    <t>svmt_pre</t>
  </si>
  <si>
    <t>euclid_pre</t>
  </si>
  <si>
    <t>analysis_pre</t>
  </si>
  <si>
    <t>investigations_pre</t>
  </si>
  <si>
    <t>978-1-387-85792-0</t>
  </si>
  <si>
    <t>978-1-387-88281-6</t>
  </si>
  <si>
    <t xml:space="preserve">978-1-387-85960-3 </t>
  </si>
  <si>
    <t> pages in Lulu pb</t>
  </si>
  <si>
    <t>Lulu pb</t>
  </si>
  <si>
    <t>Lulu epubs</t>
  </si>
  <si>
    <t>Group Cognition (pre-publication version)</t>
  </si>
  <si>
    <t>Studying Virtual Math Teams (pre-publication version)</t>
  </si>
  <si>
    <t>Translating Euclid (pre-publication version)</t>
  </si>
  <si>
    <t>Constructing Dynamic Triangles Together (pre-publication version)</t>
  </si>
  <si>
    <t>Theoretical Investigations (pre-publication version)</t>
  </si>
  <si>
    <t>Lulu pages</t>
  </si>
  <si>
    <t>pdf pages</t>
  </si>
  <si>
    <t>print as PDF; save as optimized Lulu</t>
  </si>
  <si>
    <t>Works of 3-D Form in Color</t>
  </si>
  <si>
    <t>Introductions to ijCSCL</t>
  </si>
  <si>
    <t>978-0-557-69373-3</t>
  </si>
  <si>
    <t xml:space="preserve">978-1-716-63803-9 </t>
  </si>
  <si>
    <t>978-1-716-86272-4</t>
  </si>
  <si>
    <t>978-1-387-81829-7</t>
  </si>
  <si>
    <t>978-1-716-85914-4</t>
  </si>
  <si>
    <t xml:space="preserve">978-1-716-63828-2 </t>
  </si>
  <si>
    <t>book rejected</t>
  </si>
  <si>
    <t>epub rejected</t>
  </si>
  <si>
    <t>X</t>
  </si>
  <si>
    <t>ISBN epub - Smashwords</t>
  </si>
  <si>
    <t>978-1-310-73335-2</t>
  </si>
  <si>
    <t>978-1-458-17475-8</t>
  </si>
  <si>
    <t>978-1-005-70866-5</t>
  </si>
  <si>
    <t>978-1-458-13537-7</t>
  </si>
  <si>
    <t>978-1-458-16708-8</t>
  </si>
  <si>
    <t>978-1-458-19519-7</t>
  </si>
  <si>
    <t>978-1-310-11286-7</t>
  </si>
  <si>
    <t>978-1-005-81213-3</t>
  </si>
  <si>
    <t>978-1-005-23015-9</t>
  </si>
  <si>
    <t>978-1-005-53207-9</t>
  </si>
  <si>
    <t>978-1-458-14779-0</t>
  </si>
  <si>
    <t>978-1-458-04392-4</t>
  </si>
  <si>
    <t>978-1-458-14974-9</t>
  </si>
  <si>
    <t>978-1-005-88907-4</t>
  </si>
  <si>
    <t>978-1-005-56394-3</t>
  </si>
  <si>
    <t>revised 6/13/2022</t>
  </si>
  <si>
    <t>revised 2022</t>
  </si>
  <si>
    <t>eLibrary assembled texts</t>
  </si>
  <si>
    <t>climate</t>
  </si>
  <si>
    <t>978-1-105-92907-6</t>
  </si>
  <si>
    <t>978-1-105-92907-3</t>
  </si>
  <si>
    <t>Studying Climate Locally</t>
  </si>
  <si>
    <t>margins: .61 .61 .4 .4 .2  mirror</t>
  </si>
  <si>
    <t>margins: .61 .61 .5  .5  0  left  page setup for whole 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</si>
</sst>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\-&quot;$&quot;#,##0.00"/>
  </numFmts>
  <fonts count="17" x14ac:knownFonts="1">
    <font>
      <sz val="12"/>
      <color theme="1"/>
      <name val="Calibri"/>
      <family val="2"/>
      <scheme val="minor"/>
    </font>
    <font>
      <sz val="8"/>
      <name val="Calibri"/>
      <family val="2"/>
    </font>
    <font>
      <sz val="10"/>
      <color theme="1"/>
      <name val="Calibri"/>
      <family val="2"/>
    </font>
    <font>
      <b/>
      <sz val="10"/>
      <color rgb="FF660066"/>
      <name val="Calibri"/>
      <family val="2"/>
    </font>
    <font>
      <b/>
      <i/>
      <sz val="10"/>
      <color rgb="FF660066"/>
      <name val="Calibri"/>
      <family val="2"/>
    </font>
    <font>
      <i/>
      <sz val="10"/>
      <color theme="1"/>
      <name val="Calibri"/>
      <family val="2"/>
    </font>
    <font>
      <sz val="10"/>
      <color rgb="FF000000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Calibri"/>
      <family val="2"/>
    </font>
    <font>
      <i/>
      <sz val="10"/>
      <name val="Calibri"/>
      <family val="2"/>
    </font>
    <font>
      <b/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FF0000"/>
      <name val="Calibri"/>
      <family val="2"/>
    </font>
    <font>
      <b/>
      <sz val="14"/>
      <color theme="5"/>
      <name val="Calibri"/>
      <family val="2"/>
    </font>
    <font>
      <b/>
      <i/>
      <sz val="14"/>
      <color theme="5"/>
      <name val="Calibri"/>
      <family val="2"/>
    </font>
    <font>
      <b/>
      <sz val="14"/>
      <color rgb="FF7030A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vertical="center" wrapText="1"/>
    </xf>
    <xf numFmtId="164" fontId="6" fillId="0" borderId="5" xfId="0" applyNumberFormat="1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6" fillId="2" borderId="5" xfId="0" applyFont="1" applyFill="1" applyBorder="1" applyAlignment="1">
      <alignment horizontal="left" vertical="center" wrapText="1"/>
    </xf>
    <xf numFmtId="164" fontId="6" fillId="2" borderId="5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8" fontId="2" fillId="0" borderId="5" xfId="0" applyNumberFormat="1" applyFont="1" applyBorder="1" applyAlignment="1">
      <alignment horizontal="right"/>
    </xf>
    <xf numFmtId="8" fontId="2" fillId="0" borderId="6" xfId="0" applyNumberFormat="1" applyFont="1" applyBorder="1" applyAlignment="1">
      <alignment horizontal="right"/>
    </xf>
    <xf numFmtId="8" fontId="2" fillId="0" borderId="8" xfId="0" applyNumberFormat="1" applyFont="1" applyBorder="1" applyAlignment="1">
      <alignment horizontal="right"/>
    </xf>
    <xf numFmtId="8" fontId="2" fillId="0" borderId="9" xfId="0" applyNumberFormat="1" applyFont="1" applyBorder="1" applyAlignment="1">
      <alignment horizontal="righ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8" fontId="0" fillId="0" borderId="0" xfId="0" applyNumberFormat="1"/>
    <xf numFmtId="0" fontId="2" fillId="0" borderId="0" xfId="0" applyFont="1"/>
    <xf numFmtId="8" fontId="2" fillId="0" borderId="0" xfId="0" applyNumberFormat="1" applyFont="1"/>
    <xf numFmtId="14" fontId="2" fillId="0" borderId="0" xfId="0" applyNumberFormat="1" applyFont="1"/>
    <xf numFmtId="0" fontId="7" fillId="0" borderId="0" xfId="0" applyFont="1"/>
    <xf numFmtId="0" fontId="8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2" fillId="0" borderId="0" xfId="0" applyFont="1" applyAlignment="1">
      <alignment wrapText="1"/>
    </xf>
    <xf numFmtId="8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/>
    </xf>
    <xf numFmtId="0" fontId="2" fillId="0" borderId="5" xfId="0" applyFont="1" applyBorder="1" applyAlignment="1">
      <alignment horizontal="right"/>
    </xf>
    <xf numFmtId="0" fontId="6" fillId="0" borderId="5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3" fillId="0" borderId="11" xfId="0" applyFont="1" applyBorder="1" applyAlignment="1">
      <alignment horizontal="right"/>
    </xf>
    <xf numFmtId="0" fontId="3" fillId="0" borderId="11" xfId="0" applyFont="1" applyBorder="1" applyAlignment="1">
      <alignment horizontal="right" vertical="center" wrapText="1"/>
    </xf>
    <xf numFmtId="0" fontId="3" fillId="0" borderId="12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6" fillId="0" borderId="2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0" fontId="6" fillId="0" borderId="14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/>
    </xf>
    <xf numFmtId="0" fontId="6" fillId="0" borderId="8" xfId="0" applyFont="1" applyBorder="1" applyAlignment="1">
      <alignment horizontal="right" vertical="center" wrapText="1"/>
    </xf>
    <xf numFmtId="0" fontId="2" fillId="0" borderId="9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9" fillId="0" borderId="5" xfId="0" applyFont="1" applyBorder="1" applyAlignment="1">
      <alignment horizontal="right"/>
    </xf>
    <xf numFmtId="0" fontId="9" fillId="0" borderId="5" xfId="0" applyFont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9" fillId="4" borderId="5" xfId="0" applyFont="1" applyFill="1" applyBorder="1" applyAlignment="1">
      <alignment horizontal="left"/>
    </xf>
    <xf numFmtId="0" fontId="10" fillId="4" borderId="5" xfId="0" applyFont="1" applyFill="1" applyBorder="1" applyAlignment="1">
      <alignment horizontal="left"/>
    </xf>
    <xf numFmtId="0" fontId="9" fillId="4" borderId="5" xfId="0" applyFont="1" applyFill="1" applyBorder="1" applyAlignment="1">
      <alignment horizontal="right"/>
    </xf>
    <xf numFmtId="0" fontId="9" fillId="4" borderId="5" xfId="0" applyFont="1" applyFill="1" applyBorder="1" applyAlignment="1">
      <alignment horizontal="right" vertical="center" wrapText="1"/>
    </xf>
    <xf numFmtId="0" fontId="9" fillId="4" borderId="0" xfId="0" applyFont="1" applyFill="1" applyAlignment="1">
      <alignment horizontal="left"/>
    </xf>
    <xf numFmtId="0" fontId="2" fillId="4" borderId="5" xfId="0" applyFont="1" applyFill="1" applyBorder="1" applyAlignment="1">
      <alignment horizontal="left"/>
    </xf>
    <xf numFmtId="0" fontId="5" fillId="4" borderId="5" xfId="0" applyFont="1" applyFill="1" applyBorder="1" applyAlignment="1">
      <alignment horizontal="left"/>
    </xf>
    <xf numFmtId="0" fontId="2" fillId="4" borderId="5" xfId="0" applyFont="1" applyFill="1" applyBorder="1" applyAlignment="1">
      <alignment horizontal="right"/>
    </xf>
    <xf numFmtId="0" fontId="6" fillId="4" borderId="5" xfId="0" applyFont="1" applyFill="1" applyBorder="1" applyAlignment="1">
      <alignment horizontal="right" vertical="center" wrapText="1"/>
    </xf>
    <xf numFmtId="0" fontId="2" fillId="4" borderId="0" xfId="0" applyFont="1" applyFill="1" applyAlignment="1">
      <alignment horizontal="left"/>
    </xf>
    <xf numFmtId="8" fontId="2" fillId="4" borderId="5" xfId="0" applyNumberFormat="1" applyFont="1" applyFill="1" applyBorder="1" applyAlignment="1">
      <alignment horizontal="right"/>
    </xf>
    <xf numFmtId="8" fontId="9" fillId="4" borderId="5" xfId="0" applyNumberFormat="1" applyFont="1" applyFill="1" applyBorder="1" applyAlignment="1">
      <alignment horizontal="right"/>
    </xf>
    <xf numFmtId="8" fontId="9" fillId="0" borderId="5" xfId="0" applyNumberFormat="1" applyFont="1" applyBorder="1" applyAlignment="1">
      <alignment horizontal="right"/>
    </xf>
    <xf numFmtId="0" fontId="11" fillId="0" borderId="4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4" borderId="4" xfId="0" applyFont="1" applyFill="1" applyBorder="1" applyAlignment="1">
      <alignment horizontal="left"/>
    </xf>
    <xf numFmtId="0" fontId="11" fillId="4" borderId="5" xfId="0" applyFont="1" applyFill="1" applyBorder="1" applyAlignment="1">
      <alignment horizontal="left"/>
    </xf>
    <xf numFmtId="0" fontId="12" fillId="4" borderId="4" xfId="0" applyFont="1" applyFill="1" applyBorder="1" applyAlignment="1">
      <alignment horizontal="left"/>
    </xf>
    <xf numFmtId="0" fontId="12" fillId="4" borderId="5" xfId="0" applyFont="1" applyFill="1" applyBorder="1" applyAlignment="1">
      <alignment horizontal="left"/>
    </xf>
    <xf numFmtId="0" fontId="12" fillId="0" borderId="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2" fillId="0" borderId="18" xfId="0" applyFont="1" applyBorder="1" applyAlignment="1">
      <alignment horizontal="right"/>
    </xf>
    <xf numFmtId="8" fontId="2" fillId="0" borderId="18" xfId="0" applyNumberFormat="1" applyFont="1" applyBorder="1" applyAlignment="1">
      <alignment horizontal="right"/>
    </xf>
    <xf numFmtId="0" fontId="2" fillId="0" borderId="19" xfId="0" applyFont="1" applyBorder="1" applyAlignment="1">
      <alignment horizontal="left"/>
    </xf>
    <xf numFmtId="0" fontId="3" fillId="0" borderId="0" xfId="0" applyFont="1" applyAlignment="1">
      <alignment horizontal="left" vertical="top" wrapText="1"/>
    </xf>
    <xf numFmtId="0" fontId="11" fillId="0" borderId="20" xfId="0" applyFont="1" applyBorder="1" applyAlignment="1">
      <alignment horizontal="left"/>
    </xf>
    <xf numFmtId="0" fontId="11" fillId="0" borderId="21" xfId="0" applyFont="1" applyBorder="1" applyAlignment="1">
      <alignment horizontal="left"/>
    </xf>
    <xf numFmtId="0" fontId="5" fillId="0" borderId="21" xfId="0" applyFont="1" applyBorder="1" applyAlignment="1">
      <alignment horizontal="left"/>
    </xf>
    <xf numFmtId="0" fontId="2" fillId="0" borderId="21" xfId="0" applyFont="1" applyBorder="1" applyAlignment="1">
      <alignment horizontal="right"/>
    </xf>
    <xf numFmtId="0" fontId="6" fillId="0" borderId="21" xfId="0" applyFont="1" applyBorder="1" applyAlignment="1">
      <alignment horizontal="right" vertical="center" wrapText="1"/>
    </xf>
    <xf numFmtId="8" fontId="2" fillId="0" borderId="21" xfId="0" applyNumberFormat="1" applyFont="1" applyBorder="1" applyAlignment="1">
      <alignment horizontal="right"/>
    </xf>
    <xf numFmtId="0" fontId="2" fillId="0" borderId="21" xfId="0" applyFont="1" applyBorder="1"/>
    <xf numFmtId="0" fontId="3" fillId="0" borderId="23" xfId="0" applyFont="1" applyBorder="1" applyAlignment="1">
      <alignment horizontal="left" vertical="top" wrapText="1"/>
    </xf>
    <xf numFmtId="0" fontId="3" fillId="0" borderId="24" xfId="0" applyFont="1" applyBorder="1" applyAlignment="1">
      <alignment horizontal="left" vertical="top" wrapText="1"/>
    </xf>
    <xf numFmtId="0" fontId="4" fillId="0" borderId="24" xfId="0" applyFont="1" applyBorder="1" applyAlignment="1">
      <alignment horizontal="left" vertical="top" wrapText="1"/>
    </xf>
    <xf numFmtId="0" fontId="3" fillId="0" borderId="25" xfId="0" applyFont="1" applyBorder="1" applyAlignment="1">
      <alignment horizontal="left" vertical="top" wrapText="1"/>
    </xf>
    <xf numFmtId="4" fontId="5" fillId="0" borderId="1" xfId="0" applyNumberFormat="1" applyFont="1" applyBorder="1" applyAlignment="1">
      <alignment horizontal="left"/>
    </xf>
    <xf numFmtId="4" fontId="2" fillId="0" borderId="2" xfId="0" applyNumberFormat="1" applyFont="1" applyBorder="1" applyAlignment="1">
      <alignment horizontal="right"/>
    </xf>
    <xf numFmtId="4" fontId="2" fillId="0" borderId="3" xfId="0" applyNumberFormat="1" applyFont="1" applyBorder="1" applyAlignment="1">
      <alignment horizontal="right"/>
    </xf>
    <xf numFmtId="4" fontId="5" fillId="0" borderId="4" xfId="0" applyNumberFormat="1" applyFont="1" applyBorder="1" applyAlignment="1">
      <alignment horizontal="left"/>
    </xf>
    <xf numFmtId="4" fontId="2" fillId="0" borderId="5" xfId="0" applyNumberFormat="1" applyFont="1" applyBorder="1" applyAlignment="1">
      <alignment horizontal="right"/>
    </xf>
    <xf numFmtId="4" fontId="2" fillId="0" borderId="8" xfId="0" applyNumberFormat="1" applyFont="1" applyBorder="1" applyAlignment="1">
      <alignment horizontal="right"/>
    </xf>
    <xf numFmtId="4" fontId="2" fillId="0" borderId="6" xfId="0" applyNumberFormat="1" applyFont="1" applyBorder="1" applyAlignment="1">
      <alignment horizontal="right"/>
    </xf>
    <xf numFmtId="4" fontId="5" fillId="3" borderId="4" xfId="0" applyNumberFormat="1" applyFont="1" applyFill="1" applyBorder="1" applyAlignment="1">
      <alignment horizontal="left"/>
    </xf>
    <xf numFmtId="4" fontId="5" fillId="3" borderId="7" xfId="0" applyNumberFormat="1" applyFont="1" applyFill="1" applyBorder="1" applyAlignment="1">
      <alignment horizontal="left"/>
    </xf>
    <xf numFmtId="4" fontId="9" fillId="0" borderId="9" xfId="0" applyNumberFormat="1" applyFont="1" applyBorder="1" applyAlignment="1">
      <alignment horizontal="right"/>
    </xf>
    <xf numFmtId="0" fontId="2" fillId="0" borderId="26" xfId="0" applyFont="1" applyBorder="1"/>
    <xf numFmtId="0" fontId="2" fillId="0" borderId="27" xfId="0" applyFont="1" applyBorder="1" applyAlignment="1">
      <alignment horizontal="left"/>
    </xf>
    <xf numFmtId="0" fontId="2" fillId="4" borderId="27" xfId="0" applyFont="1" applyFill="1" applyBorder="1" applyAlignment="1">
      <alignment horizontal="left"/>
    </xf>
    <xf numFmtId="0" fontId="2" fillId="0" borderId="27" xfId="0" applyFont="1" applyBorder="1"/>
    <xf numFmtId="0" fontId="9" fillId="4" borderId="27" xfId="0" applyFont="1" applyFill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3" fillId="0" borderId="29" xfId="0" applyFont="1" applyBorder="1" applyAlignment="1">
      <alignment horizontal="left" vertical="top" wrapText="1"/>
    </xf>
    <xf numFmtId="0" fontId="13" fillId="0" borderId="22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13" fillId="4" borderId="6" xfId="0" applyFont="1" applyFill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" fillId="0" borderId="31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13" fillId="0" borderId="2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3" fillId="0" borderId="32" xfId="0" applyFont="1" applyBorder="1" applyAlignment="1">
      <alignment horizontal="center"/>
    </xf>
    <xf numFmtId="0" fontId="3" fillId="0" borderId="33" xfId="0" applyFont="1" applyBorder="1" applyAlignment="1">
      <alignment horizontal="left" vertical="top" wrapText="1"/>
    </xf>
    <xf numFmtId="0" fontId="2" fillId="0" borderId="35" xfId="0" applyFont="1" applyBorder="1"/>
    <xf numFmtId="49" fontId="2" fillId="0" borderId="34" xfId="0" applyNumberFormat="1" applyFont="1" applyBorder="1"/>
    <xf numFmtId="49" fontId="2" fillId="0" borderId="35" xfId="0" applyNumberFormat="1" applyFont="1" applyBorder="1" applyAlignment="1">
      <alignment horizontal="left"/>
    </xf>
    <xf numFmtId="49" fontId="2" fillId="4" borderId="35" xfId="0" applyNumberFormat="1" applyFont="1" applyFill="1" applyBorder="1" applyAlignment="1">
      <alignment horizontal="left"/>
    </xf>
    <xf numFmtId="49" fontId="2" fillId="0" borderId="35" xfId="0" applyNumberFormat="1" applyFont="1" applyBorder="1"/>
    <xf numFmtId="49" fontId="9" fillId="4" borderId="35" xfId="0" applyNumberFormat="1" applyFont="1" applyFill="1" applyBorder="1" applyAlignment="1">
      <alignment horizontal="left"/>
    </xf>
    <xf numFmtId="49" fontId="9" fillId="0" borderId="35" xfId="0" applyNumberFormat="1" applyFont="1" applyBorder="1" applyAlignment="1">
      <alignment horizontal="left"/>
    </xf>
    <xf numFmtId="49" fontId="2" fillId="0" borderId="36" xfId="0" applyNumberFormat="1" applyFont="1" applyBorder="1" applyAlignment="1">
      <alignment horizontal="left"/>
    </xf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4" fillId="0" borderId="0" xfId="0" applyFont="1" applyAlignment="1">
      <alignment horizontal="right"/>
    </xf>
    <xf numFmtId="0" fontId="16" fillId="5" borderId="0" xfId="0" applyFont="1" applyFill="1" applyAlignment="1">
      <alignment horizontal="left"/>
    </xf>
    <xf numFmtId="0" fontId="14" fillId="5" borderId="0" xfId="0" applyFont="1" applyFill="1" applyAlignment="1">
      <alignment horizontal="left"/>
    </xf>
    <xf numFmtId="0" fontId="14" fillId="5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7"/>
  <sheetViews>
    <sheetView tabSelected="1" zoomScale="165" zoomScaleNormal="16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32" sqref="C32"/>
    </sheetView>
  </sheetViews>
  <sheetFormatPr baseColWidth="10" defaultRowHeight="14" x14ac:dyDescent="0.2"/>
  <cols>
    <col min="1" max="1" width="3.1640625" style="1" customWidth="1"/>
    <col min="2" max="2" width="12" style="1" customWidth="1"/>
    <col min="3" max="3" width="31.1640625" style="23" customWidth="1"/>
    <col min="4" max="7" width="5.5" style="58" customWidth="1"/>
    <col min="8" max="8" width="7.1640625" style="58" customWidth="1"/>
    <col min="9" max="9" width="7.33203125" style="58" customWidth="1"/>
    <col min="10" max="10" width="15.1640625" style="1" customWidth="1"/>
    <col min="11" max="11" width="15.33203125" style="1" customWidth="1"/>
    <col min="12" max="12" width="19" style="1" customWidth="1"/>
    <col min="13" max="14" width="5.33203125" style="1" customWidth="1"/>
    <col min="15" max="16384" width="10.83203125" style="1"/>
  </cols>
  <sheetData>
    <row r="1" spans="1:14" s="157" customFormat="1" ht="19" x14ac:dyDescent="0.25">
      <c r="C1" s="158"/>
      <c r="D1" s="159"/>
      <c r="E1" s="159"/>
      <c r="F1" s="159"/>
      <c r="G1" s="159"/>
      <c r="H1" s="159"/>
      <c r="I1" s="162"/>
      <c r="J1" s="160" t="s">
        <v>209</v>
      </c>
      <c r="K1" s="161"/>
    </row>
    <row r="2" spans="1:14" ht="15" thickBot="1" x14ac:dyDescent="0.25">
      <c r="C2" s="2" t="s">
        <v>66</v>
      </c>
      <c r="J2" s="1" t="s">
        <v>208</v>
      </c>
      <c r="K2" s="1" t="s">
        <v>208</v>
      </c>
      <c r="L2" s="1" t="s">
        <v>207</v>
      </c>
    </row>
    <row r="3" spans="1:14" s="108" customFormat="1" ht="30" customHeight="1" thickBot="1" x14ac:dyDescent="0.25">
      <c r="A3" s="116"/>
      <c r="B3" s="117" t="s">
        <v>88</v>
      </c>
      <c r="C3" s="118" t="s">
        <v>89</v>
      </c>
      <c r="D3" s="117" t="s">
        <v>64</v>
      </c>
      <c r="E3" s="117" t="s">
        <v>65</v>
      </c>
      <c r="F3" s="117" t="s">
        <v>177</v>
      </c>
      <c r="G3" s="117" t="s">
        <v>178</v>
      </c>
      <c r="H3" s="117" t="s">
        <v>63</v>
      </c>
      <c r="I3" s="117" t="s">
        <v>99</v>
      </c>
      <c r="J3" s="117" t="s">
        <v>41</v>
      </c>
      <c r="K3" s="137" t="s">
        <v>40</v>
      </c>
      <c r="L3" s="148" t="s">
        <v>191</v>
      </c>
      <c r="M3" s="116" t="s">
        <v>188</v>
      </c>
      <c r="N3" s="119" t="s">
        <v>189</v>
      </c>
    </row>
    <row r="4" spans="1:14" x14ac:dyDescent="0.2">
      <c r="A4" s="109">
        <v>1</v>
      </c>
      <c r="B4" s="110" t="s">
        <v>0</v>
      </c>
      <c r="C4" s="111" t="s">
        <v>18</v>
      </c>
      <c r="D4" s="112">
        <v>1967</v>
      </c>
      <c r="E4" s="112">
        <v>1974</v>
      </c>
      <c r="F4" s="112">
        <v>214</v>
      </c>
      <c r="G4" s="113">
        <v>203</v>
      </c>
      <c r="H4" s="114">
        <v>12.28</v>
      </c>
      <c r="I4" s="114">
        <v>12.28</v>
      </c>
      <c r="J4" s="115" t="s">
        <v>182</v>
      </c>
      <c r="K4" s="130" t="s">
        <v>39</v>
      </c>
      <c r="L4" s="150" t="s">
        <v>193</v>
      </c>
      <c r="M4" s="144" t="s">
        <v>190</v>
      </c>
      <c r="N4" s="138" t="s">
        <v>190</v>
      </c>
    </row>
    <row r="5" spans="1:14" x14ac:dyDescent="0.2">
      <c r="A5" s="93">
        <v>2</v>
      </c>
      <c r="B5" s="94" t="s">
        <v>1</v>
      </c>
      <c r="C5" s="9" t="s">
        <v>31</v>
      </c>
      <c r="D5" s="59">
        <v>1989</v>
      </c>
      <c r="E5" s="59">
        <v>1993</v>
      </c>
      <c r="F5" s="59">
        <v>391</v>
      </c>
      <c r="G5" s="60">
        <v>366</v>
      </c>
      <c r="H5" s="28">
        <v>19.72</v>
      </c>
      <c r="I5" s="28">
        <v>19.72</v>
      </c>
      <c r="J5" s="8" t="s">
        <v>166</v>
      </c>
      <c r="K5" s="131" t="s">
        <v>42</v>
      </c>
      <c r="L5" s="151" t="s">
        <v>194</v>
      </c>
      <c r="M5" s="145"/>
      <c r="N5" s="139" t="s">
        <v>190</v>
      </c>
    </row>
    <row r="6" spans="1:14" s="89" customFormat="1" x14ac:dyDescent="0.2">
      <c r="A6" s="95">
        <v>3</v>
      </c>
      <c r="B6" s="96" t="s">
        <v>2</v>
      </c>
      <c r="C6" s="86" t="s">
        <v>19</v>
      </c>
      <c r="D6" s="87">
        <v>1993</v>
      </c>
      <c r="E6" s="87">
        <v>2006</v>
      </c>
      <c r="F6" s="87"/>
      <c r="G6" s="88">
        <v>523</v>
      </c>
      <c r="H6" s="90"/>
      <c r="I6" s="90">
        <v>40.98</v>
      </c>
      <c r="J6" s="85" t="s">
        <v>120</v>
      </c>
      <c r="K6" s="132" t="s">
        <v>112</v>
      </c>
      <c r="L6" s="152"/>
      <c r="M6" s="146"/>
      <c r="N6" s="140"/>
    </row>
    <row r="7" spans="1:14" s="89" customFormat="1" x14ac:dyDescent="0.2">
      <c r="A7" s="95">
        <v>4</v>
      </c>
      <c r="B7" s="96" t="s">
        <v>3</v>
      </c>
      <c r="C7" s="86" t="s">
        <v>20</v>
      </c>
      <c r="D7" s="87">
        <v>2006</v>
      </c>
      <c r="E7" s="87">
        <v>2009</v>
      </c>
      <c r="F7" s="87"/>
      <c r="G7" s="88">
        <v>734</v>
      </c>
      <c r="H7" s="90"/>
      <c r="I7" s="90">
        <v>120.8</v>
      </c>
      <c r="J7" s="85" t="s">
        <v>121</v>
      </c>
      <c r="K7" s="132" t="s">
        <v>113</v>
      </c>
      <c r="L7" s="152"/>
      <c r="M7" s="146"/>
      <c r="N7" s="140"/>
    </row>
    <row r="8" spans="1:14" s="89" customFormat="1" x14ac:dyDescent="0.2">
      <c r="A8" s="95">
        <v>5</v>
      </c>
      <c r="B8" s="96" t="s">
        <v>4</v>
      </c>
      <c r="C8" s="86" t="s">
        <v>21</v>
      </c>
      <c r="D8" s="87">
        <v>2009</v>
      </c>
      <c r="E8" s="87">
        <v>2013</v>
      </c>
      <c r="F8" s="87"/>
      <c r="G8" s="88">
        <v>269</v>
      </c>
      <c r="H8" s="90"/>
      <c r="I8" s="90">
        <v>50</v>
      </c>
      <c r="J8" s="85" t="s">
        <v>118</v>
      </c>
      <c r="K8" s="132" t="s">
        <v>114</v>
      </c>
      <c r="L8" s="152"/>
      <c r="M8" s="146"/>
      <c r="N8" s="140"/>
    </row>
    <row r="9" spans="1:14" s="89" customFormat="1" x14ac:dyDescent="0.2">
      <c r="A9" s="95">
        <v>6</v>
      </c>
      <c r="B9" s="96" t="s">
        <v>5</v>
      </c>
      <c r="C9" s="86" t="s">
        <v>91</v>
      </c>
      <c r="D9" s="87">
        <v>2013</v>
      </c>
      <c r="E9" s="87">
        <v>2015</v>
      </c>
      <c r="F9" s="87"/>
      <c r="G9" s="88">
        <v>279</v>
      </c>
      <c r="H9" s="90"/>
      <c r="I9" s="90">
        <v>103.99</v>
      </c>
      <c r="J9" s="85" t="s">
        <v>117</v>
      </c>
      <c r="K9" s="132" t="s">
        <v>115</v>
      </c>
      <c r="L9" s="152"/>
      <c r="M9" s="146"/>
      <c r="N9" s="140"/>
    </row>
    <row r="10" spans="1:14" x14ac:dyDescent="0.2">
      <c r="A10" s="93">
        <v>3</v>
      </c>
      <c r="B10" s="94" t="s">
        <v>161</v>
      </c>
      <c r="C10" s="9" t="s">
        <v>172</v>
      </c>
      <c r="D10" s="59">
        <v>1993</v>
      </c>
      <c r="E10" s="59">
        <v>2006</v>
      </c>
      <c r="F10" s="59">
        <v>532</v>
      </c>
      <c r="G10" s="60">
        <v>499</v>
      </c>
      <c r="H10" s="28">
        <v>25.64</v>
      </c>
      <c r="I10" s="28">
        <v>25.64</v>
      </c>
      <c r="J10" s="8" t="s">
        <v>120</v>
      </c>
      <c r="K10" s="131" t="s">
        <v>112</v>
      </c>
      <c r="L10" s="151"/>
      <c r="M10" s="145"/>
      <c r="N10" s="139"/>
    </row>
    <row r="11" spans="1:14" x14ac:dyDescent="0.2">
      <c r="A11" s="93">
        <v>4</v>
      </c>
      <c r="B11" s="94" t="s">
        <v>162</v>
      </c>
      <c r="C11" s="9" t="s">
        <v>173</v>
      </c>
      <c r="D11" s="59">
        <v>2006</v>
      </c>
      <c r="E11" s="59">
        <v>2009</v>
      </c>
      <c r="F11" s="59">
        <v>753</v>
      </c>
      <c r="G11" s="60">
        <v>706</v>
      </c>
      <c r="H11" s="28">
        <v>34.92</v>
      </c>
      <c r="I11" s="28">
        <v>34.92</v>
      </c>
      <c r="J11" s="8" t="s">
        <v>121</v>
      </c>
      <c r="K11" s="131" t="s">
        <v>113</v>
      </c>
      <c r="L11" s="151"/>
      <c r="M11" s="145" t="s">
        <v>190</v>
      </c>
      <c r="N11" s="139"/>
    </row>
    <row r="12" spans="1:14" x14ac:dyDescent="0.2">
      <c r="A12" s="93">
        <v>5</v>
      </c>
      <c r="B12" s="94" t="s">
        <v>163</v>
      </c>
      <c r="C12" s="9" t="s">
        <v>174</v>
      </c>
      <c r="D12" s="59">
        <v>2009</v>
      </c>
      <c r="E12" s="59">
        <v>2013</v>
      </c>
      <c r="F12" s="59">
        <v>276</v>
      </c>
      <c r="G12" s="60">
        <v>267</v>
      </c>
      <c r="H12" s="28">
        <v>14.9</v>
      </c>
      <c r="I12" s="28">
        <v>14.9</v>
      </c>
      <c r="J12" s="8" t="s">
        <v>118</v>
      </c>
      <c r="K12" s="131" t="s">
        <v>114</v>
      </c>
      <c r="L12" s="151"/>
      <c r="M12" s="145"/>
      <c r="N12" s="139" t="s">
        <v>190</v>
      </c>
    </row>
    <row r="13" spans="1:14" x14ac:dyDescent="0.2">
      <c r="A13" s="93">
        <v>6</v>
      </c>
      <c r="B13" s="94" t="s">
        <v>164</v>
      </c>
      <c r="C13" s="9" t="s">
        <v>175</v>
      </c>
      <c r="D13" s="59">
        <v>2013</v>
      </c>
      <c r="E13" s="59">
        <v>2015</v>
      </c>
      <c r="F13" s="59">
        <v>283</v>
      </c>
      <c r="G13" s="60">
        <v>273</v>
      </c>
      <c r="H13" s="28">
        <v>15.18</v>
      </c>
      <c r="I13" s="28">
        <v>15.18</v>
      </c>
      <c r="J13" s="8" t="s">
        <v>117</v>
      </c>
      <c r="K13" s="131" t="s">
        <v>115</v>
      </c>
      <c r="L13" s="151"/>
      <c r="M13" s="145"/>
      <c r="N13" s="139"/>
    </row>
    <row r="14" spans="1:14" x14ac:dyDescent="0.2">
      <c r="A14" s="93">
        <v>7</v>
      </c>
      <c r="B14" s="94" t="s">
        <v>6</v>
      </c>
      <c r="C14" s="9" t="s">
        <v>32</v>
      </c>
      <c r="D14" s="59">
        <v>1967</v>
      </c>
      <c r="E14" s="59">
        <v>2021</v>
      </c>
      <c r="F14" s="59">
        <v>241</v>
      </c>
      <c r="G14" s="60">
        <v>234</v>
      </c>
      <c r="H14" s="28">
        <v>13.42</v>
      </c>
      <c r="I14" s="28">
        <v>13.42</v>
      </c>
      <c r="J14" s="8" t="s">
        <v>44</v>
      </c>
      <c r="K14" s="131" t="s">
        <v>43</v>
      </c>
      <c r="L14" s="149" t="s">
        <v>195</v>
      </c>
      <c r="M14" s="145" t="s">
        <v>190</v>
      </c>
      <c r="N14" s="139"/>
    </row>
    <row r="15" spans="1:14" x14ac:dyDescent="0.2">
      <c r="A15" s="93">
        <v>8</v>
      </c>
      <c r="B15" s="94" t="s">
        <v>7</v>
      </c>
      <c r="C15" s="9" t="s">
        <v>22</v>
      </c>
      <c r="D15" s="59">
        <v>1991</v>
      </c>
      <c r="E15" s="59">
        <v>2005</v>
      </c>
      <c r="F15" s="59">
        <v>320</v>
      </c>
      <c r="G15" s="60">
        <v>303</v>
      </c>
      <c r="H15" s="28">
        <v>16.739999999999998</v>
      </c>
      <c r="I15" s="28">
        <v>16.739999999999998</v>
      </c>
      <c r="J15" s="8" t="s">
        <v>46</v>
      </c>
      <c r="K15" s="131" t="s">
        <v>45</v>
      </c>
      <c r="L15" s="149" t="s">
        <v>196</v>
      </c>
      <c r="M15" s="145"/>
      <c r="N15" s="139"/>
    </row>
    <row r="16" spans="1:14" x14ac:dyDescent="0.2">
      <c r="A16" s="93">
        <v>9</v>
      </c>
      <c r="B16" s="94" t="s">
        <v>8</v>
      </c>
      <c r="C16" s="9" t="s">
        <v>23</v>
      </c>
      <c r="D16" s="59">
        <v>2005</v>
      </c>
      <c r="E16" s="59">
        <v>2011</v>
      </c>
      <c r="F16" s="59">
        <v>210</v>
      </c>
      <c r="G16" s="60">
        <v>196</v>
      </c>
      <c r="H16" s="28">
        <v>12.12</v>
      </c>
      <c r="I16" s="28">
        <v>12.12</v>
      </c>
      <c r="J16" s="8" t="s">
        <v>48</v>
      </c>
      <c r="K16" s="131" t="s">
        <v>47</v>
      </c>
      <c r="L16" s="149" t="s">
        <v>197</v>
      </c>
      <c r="M16" s="145"/>
      <c r="N16" s="139"/>
    </row>
    <row r="17" spans="1:14" x14ac:dyDescent="0.2">
      <c r="A17" s="93">
        <v>10</v>
      </c>
      <c r="B17" s="94" t="s">
        <v>11</v>
      </c>
      <c r="C17" s="9" t="s">
        <v>37</v>
      </c>
      <c r="D17" s="59">
        <v>2010</v>
      </c>
      <c r="E17" s="59">
        <v>2013</v>
      </c>
      <c r="F17" s="59">
        <v>271</v>
      </c>
      <c r="G17" s="60">
        <v>258</v>
      </c>
      <c r="H17" s="28">
        <v>14.68</v>
      </c>
      <c r="I17" s="28">
        <v>14.68</v>
      </c>
      <c r="J17" s="8" t="s">
        <v>60</v>
      </c>
      <c r="K17" s="131" t="s">
        <v>61</v>
      </c>
      <c r="L17" s="153" t="s">
        <v>198</v>
      </c>
      <c r="M17" s="145"/>
      <c r="N17" s="139"/>
    </row>
    <row r="18" spans="1:14" x14ac:dyDescent="0.2">
      <c r="A18" s="93">
        <v>11</v>
      </c>
      <c r="B18" s="94" t="s">
        <v>12</v>
      </c>
      <c r="C18" s="9" t="s">
        <v>35</v>
      </c>
      <c r="D18" s="59">
        <v>2005</v>
      </c>
      <c r="E18" s="59">
        <v>2021</v>
      </c>
      <c r="F18" s="59">
        <v>421</v>
      </c>
      <c r="G18" s="60">
        <v>396</v>
      </c>
      <c r="H18" s="28">
        <v>20.98</v>
      </c>
      <c r="I18" s="28">
        <v>20.98</v>
      </c>
      <c r="J18" s="12" t="s">
        <v>86</v>
      </c>
      <c r="K18" s="131" t="s">
        <v>90</v>
      </c>
      <c r="L18" s="153" t="s">
        <v>192</v>
      </c>
      <c r="M18" s="145"/>
      <c r="N18" s="139"/>
    </row>
    <row r="19" spans="1:14" x14ac:dyDescent="0.2">
      <c r="A19" s="93">
        <v>12</v>
      </c>
      <c r="B19" s="94" t="s">
        <v>9</v>
      </c>
      <c r="C19" s="9" t="s">
        <v>38</v>
      </c>
      <c r="D19" s="59">
        <v>2006</v>
      </c>
      <c r="E19" s="59">
        <v>2010</v>
      </c>
      <c r="F19" s="59">
        <v>203</v>
      </c>
      <c r="G19" s="60">
        <v>191</v>
      </c>
      <c r="H19" s="28">
        <v>11.82</v>
      </c>
      <c r="I19" s="28">
        <v>11.82</v>
      </c>
      <c r="J19" s="8" t="s">
        <v>168</v>
      </c>
      <c r="K19" s="131" t="s">
        <v>62</v>
      </c>
      <c r="L19" s="151" t="s">
        <v>199</v>
      </c>
      <c r="M19" s="145" t="s">
        <v>190</v>
      </c>
      <c r="N19" s="139"/>
    </row>
    <row r="20" spans="1:14" x14ac:dyDescent="0.2">
      <c r="A20" s="93">
        <v>13</v>
      </c>
      <c r="B20" s="94" t="s">
        <v>10</v>
      </c>
      <c r="C20" s="9" t="s">
        <v>24</v>
      </c>
      <c r="D20" s="59">
        <v>2010</v>
      </c>
      <c r="E20" s="59">
        <v>2015</v>
      </c>
      <c r="F20" s="59">
        <v>141</v>
      </c>
      <c r="G20" s="60">
        <v>134</v>
      </c>
      <c r="H20" s="28">
        <v>9.2200000000000006</v>
      </c>
      <c r="I20" s="28">
        <v>9.2200000000000006</v>
      </c>
      <c r="J20" s="8" t="s">
        <v>167</v>
      </c>
      <c r="K20" s="133" t="s">
        <v>50</v>
      </c>
      <c r="L20" s="153" t="s">
        <v>200</v>
      </c>
      <c r="M20" s="145" t="s">
        <v>190</v>
      </c>
      <c r="N20" s="139"/>
    </row>
    <row r="21" spans="1:14" x14ac:dyDescent="0.2">
      <c r="A21" s="93">
        <v>14</v>
      </c>
      <c r="B21" s="94" t="s">
        <v>33</v>
      </c>
      <c r="C21" s="9" t="s">
        <v>34</v>
      </c>
      <c r="D21" s="59">
        <v>2012</v>
      </c>
      <c r="E21" s="59">
        <v>2015</v>
      </c>
      <c r="F21" s="59">
        <v>342</v>
      </c>
      <c r="G21" s="60">
        <v>334</v>
      </c>
      <c r="H21" s="28">
        <v>17.66</v>
      </c>
      <c r="I21" s="28">
        <v>17.66</v>
      </c>
      <c r="J21" s="8" t="s">
        <v>49</v>
      </c>
      <c r="K21" s="131" t="s">
        <v>50</v>
      </c>
      <c r="L21" s="151" t="s">
        <v>201</v>
      </c>
      <c r="M21" s="145"/>
      <c r="N21" s="139" t="s">
        <v>190</v>
      </c>
    </row>
    <row r="22" spans="1:14" ht="15" x14ac:dyDescent="0.2">
      <c r="A22" s="93">
        <v>15</v>
      </c>
      <c r="B22" s="94" t="s">
        <v>13</v>
      </c>
      <c r="C22" s="9" t="s">
        <v>27</v>
      </c>
      <c r="D22" s="59">
        <v>2006</v>
      </c>
      <c r="E22" s="59">
        <v>2021</v>
      </c>
      <c r="F22" s="59">
        <v>189</v>
      </c>
      <c r="G22" s="60">
        <v>177</v>
      </c>
      <c r="H22" s="28">
        <v>11.24</v>
      </c>
      <c r="I22" s="28">
        <v>11.24</v>
      </c>
      <c r="J22" s="19" t="s">
        <v>184</v>
      </c>
      <c r="K22" s="131" t="s">
        <v>51</v>
      </c>
      <c r="L22" s="151" t="s">
        <v>202</v>
      </c>
      <c r="M22" s="145"/>
      <c r="N22" s="139"/>
    </row>
    <row r="23" spans="1:14" x14ac:dyDescent="0.2">
      <c r="A23" s="93">
        <v>16</v>
      </c>
      <c r="B23" s="94" t="s">
        <v>14</v>
      </c>
      <c r="C23" s="9" t="s">
        <v>181</v>
      </c>
      <c r="D23" s="59">
        <v>2006</v>
      </c>
      <c r="E23" s="59">
        <v>2015</v>
      </c>
      <c r="F23" s="59">
        <v>345</v>
      </c>
      <c r="G23" s="60">
        <v>327</v>
      </c>
      <c r="H23" s="28">
        <v>17.8</v>
      </c>
      <c r="I23" s="28">
        <v>17.8</v>
      </c>
      <c r="J23" s="8" t="s">
        <v>53</v>
      </c>
      <c r="K23" s="131" t="s">
        <v>52</v>
      </c>
      <c r="L23" s="151" t="s">
        <v>203</v>
      </c>
      <c r="M23" s="145" t="s">
        <v>190</v>
      </c>
      <c r="N23" s="139"/>
    </row>
    <row r="24" spans="1:14" x14ac:dyDescent="0.2">
      <c r="A24" s="93">
        <v>17</v>
      </c>
      <c r="B24" s="94" t="s">
        <v>15</v>
      </c>
      <c r="C24" s="9" t="s">
        <v>26</v>
      </c>
      <c r="D24" s="59">
        <v>1993</v>
      </c>
      <c r="E24" s="59">
        <v>2021</v>
      </c>
      <c r="F24" s="59">
        <v>409</v>
      </c>
      <c r="G24" s="60">
        <v>382</v>
      </c>
      <c r="H24" s="28">
        <v>20.48</v>
      </c>
      <c r="I24" s="28">
        <v>20.48</v>
      </c>
      <c r="J24" s="8" t="s">
        <v>55</v>
      </c>
      <c r="K24" s="131" t="s">
        <v>54</v>
      </c>
      <c r="L24" s="151" t="s">
        <v>204</v>
      </c>
      <c r="M24" s="145"/>
      <c r="N24" s="139"/>
    </row>
    <row r="25" spans="1:14" x14ac:dyDescent="0.2">
      <c r="A25" s="93">
        <v>18</v>
      </c>
      <c r="B25" s="94" t="s">
        <v>59</v>
      </c>
      <c r="C25" s="9" t="s">
        <v>36</v>
      </c>
      <c r="D25" s="59">
        <v>2015</v>
      </c>
      <c r="E25" s="59">
        <v>2021</v>
      </c>
      <c r="F25" s="59">
        <v>264</v>
      </c>
      <c r="G25" s="60">
        <v>255</v>
      </c>
      <c r="H25" s="28">
        <v>14.38</v>
      </c>
      <c r="I25" s="28">
        <v>14.38</v>
      </c>
      <c r="J25" s="8" t="s">
        <v>57</v>
      </c>
      <c r="K25" s="131" t="s">
        <v>56</v>
      </c>
      <c r="L25" s="151" t="s">
        <v>205</v>
      </c>
      <c r="M25" s="145" t="s">
        <v>190</v>
      </c>
      <c r="N25" s="139" t="s">
        <v>190</v>
      </c>
    </row>
    <row r="26" spans="1:14" s="84" customFormat="1" x14ac:dyDescent="0.2">
      <c r="A26" s="97">
        <v>19</v>
      </c>
      <c r="B26" s="98" t="s">
        <v>92</v>
      </c>
      <c r="C26" s="81" t="s">
        <v>95</v>
      </c>
      <c r="D26" s="82">
        <v>2005</v>
      </c>
      <c r="E26" s="82">
        <v>2018</v>
      </c>
      <c r="F26" s="82"/>
      <c r="G26" s="83">
        <v>452</v>
      </c>
      <c r="H26" s="91"/>
      <c r="I26" s="91">
        <v>161.59</v>
      </c>
      <c r="J26" s="80" t="s">
        <v>122</v>
      </c>
      <c r="K26" s="134" t="s">
        <v>116</v>
      </c>
      <c r="L26" s="154"/>
      <c r="M26" s="146"/>
      <c r="N26" s="140"/>
    </row>
    <row r="27" spans="1:14" s="79" customFormat="1" x14ac:dyDescent="0.2">
      <c r="A27" s="99">
        <v>19</v>
      </c>
      <c r="B27" s="100" t="s">
        <v>165</v>
      </c>
      <c r="C27" s="76" t="s">
        <v>176</v>
      </c>
      <c r="D27" s="77">
        <v>2005</v>
      </c>
      <c r="E27" s="77">
        <v>2018</v>
      </c>
      <c r="F27" s="77">
        <v>455</v>
      </c>
      <c r="G27" s="78">
        <v>428</v>
      </c>
      <c r="H27" s="92">
        <v>22.42</v>
      </c>
      <c r="I27" s="92">
        <v>22.42</v>
      </c>
      <c r="J27" s="75" t="s">
        <v>185</v>
      </c>
      <c r="K27" s="135" t="s">
        <v>116</v>
      </c>
      <c r="L27" s="155"/>
      <c r="M27" s="145" t="s">
        <v>190</v>
      </c>
      <c r="N27" s="139"/>
    </row>
    <row r="28" spans="1:14" x14ac:dyDescent="0.2">
      <c r="A28" s="93">
        <v>20</v>
      </c>
      <c r="B28" s="94" t="s">
        <v>93</v>
      </c>
      <c r="C28" s="9" t="s">
        <v>180</v>
      </c>
      <c r="D28" s="59">
        <v>2018</v>
      </c>
      <c r="E28" s="59">
        <v>2022</v>
      </c>
      <c r="F28" s="59">
        <v>461</v>
      </c>
      <c r="G28" s="60">
        <v>437</v>
      </c>
      <c r="H28" s="28">
        <v>42.02</v>
      </c>
      <c r="I28" s="28">
        <v>42.02</v>
      </c>
      <c r="J28" s="8" t="s">
        <v>186</v>
      </c>
      <c r="K28" s="131" t="s">
        <v>96</v>
      </c>
      <c r="L28" s="151"/>
      <c r="M28" s="145"/>
      <c r="N28" s="139"/>
    </row>
    <row r="29" spans="1:14" ht="15" thickBot="1" x14ac:dyDescent="0.25">
      <c r="A29" s="93">
        <v>21</v>
      </c>
      <c r="B29" s="94" t="s">
        <v>110</v>
      </c>
      <c r="C29" s="9" t="s">
        <v>111</v>
      </c>
      <c r="D29" s="59">
        <v>2020</v>
      </c>
      <c r="E29" s="59">
        <v>2021</v>
      </c>
      <c r="F29" s="59">
        <v>123</v>
      </c>
      <c r="G29" s="60">
        <v>120</v>
      </c>
      <c r="H29" s="28">
        <v>13.64</v>
      </c>
      <c r="I29" s="28">
        <v>13.64</v>
      </c>
      <c r="J29" s="8" t="s">
        <v>183</v>
      </c>
      <c r="K29" s="131" t="s">
        <v>187</v>
      </c>
      <c r="L29" s="156" t="s">
        <v>206</v>
      </c>
      <c r="M29" s="147" t="s">
        <v>190</v>
      </c>
      <c r="N29" s="141"/>
    </row>
    <row r="30" spans="1:14" x14ac:dyDescent="0.2">
      <c r="A30" s="93">
        <v>22</v>
      </c>
      <c r="B30" s="94" t="s">
        <v>210</v>
      </c>
      <c r="C30" s="9" t="s">
        <v>213</v>
      </c>
      <c r="D30" s="59">
        <v>2022</v>
      </c>
      <c r="E30" s="59">
        <v>2026</v>
      </c>
      <c r="F30" s="59">
        <v>126</v>
      </c>
      <c r="G30" s="59">
        <v>126</v>
      </c>
      <c r="H30" s="28">
        <v>14</v>
      </c>
      <c r="I30" s="28">
        <v>15</v>
      </c>
      <c r="J30" s="8" t="s">
        <v>212</v>
      </c>
      <c r="K30" s="13" t="s">
        <v>211</v>
      </c>
      <c r="L30" s="143"/>
      <c r="M30" s="136"/>
    </row>
    <row r="31" spans="1:14" x14ac:dyDescent="0.2">
      <c r="A31" s="93"/>
      <c r="B31" s="94" t="s">
        <v>25</v>
      </c>
      <c r="C31" s="9" t="s">
        <v>29</v>
      </c>
      <c r="D31" s="59">
        <v>2002</v>
      </c>
      <c r="E31" s="59"/>
      <c r="F31" s="59"/>
      <c r="G31" s="59"/>
      <c r="H31" s="28"/>
      <c r="I31" s="28">
        <v>105</v>
      </c>
      <c r="J31" s="12"/>
      <c r="K31" s="13"/>
      <c r="L31" s="142"/>
      <c r="M31" s="101"/>
    </row>
    <row r="32" spans="1:14" x14ac:dyDescent="0.2">
      <c r="A32" s="93"/>
      <c r="B32" s="94" t="s">
        <v>17</v>
      </c>
      <c r="C32" s="9" t="s">
        <v>30</v>
      </c>
      <c r="D32" s="59">
        <v>2011</v>
      </c>
      <c r="E32" s="59"/>
      <c r="F32" s="59"/>
      <c r="G32" s="59"/>
      <c r="H32" s="28"/>
      <c r="I32" s="28"/>
      <c r="J32" s="8"/>
      <c r="K32" s="13"/>
      <c r="L32" s="142"/>
      <c r="M32" s="101"/>
    </row>
    <row r="33" spans="1:12" ht="15" thickBot="1" x14ac:dyDescent="0.25">
      <c r="A33" s="102"/>
      <c r="B33" s="103"/>
      <c r="C33" s="104"/>
      <c r="D33" s="105"/>
      <c r="E33" s="105"/>
      <c r="F33" s="105">
        <f>SUM(F4:F32)-F6-F7-F8-F9-F27</f>
        <v>6515</v>
      </c>
      <c r="G33" s="105">
        <f>SUM(G4:G32)-G6-G7-G8-G9-G27</f>
        <v>6636</v>
      </c>
      <c r="H33" s="106">
        <f>SUM(H4:H32)</f>
        <v>395.26</v>
      </c>
      <c r="I33" s="106"/>
      <c r="J33" s="103"/>
      <c r="K33" s="107"/>
    </row>
    <row r="34" spans="1:12" ht="15" thickBot="1" x14ac:dyDescent="0.25"/>
    <row r="35" spans="1:12" x14ac:dyDescent="0.2">
      <c r="C35" s="120"/>
      <c r="D35" s="121" t="s">
        <v>67</v>
      </c>
      <c r="E35" s="121" t="s">
        <v>68</v>
      </c>
      <c r="F35" s="121"/>
      <c r="G35" s="121" t="s">
        <v>69</v>
      </c>
      <c r="H35" s="121" t="s">
        <v>70</v>
      </c>
      <c r="I35" s="122" t="s">
        <v>119</v>
      </c>
    </row>
    <row r="36" spans="1:12" x14ac:dyDescent="0.2">
      <c r="C36" s="123" t="s">
        <v>19</v>
      </c>
      <c r="D36" s="124">
        <v>40.98</v>
      </c>
      <c r="E36" s="124"/>
      <c r="F36" s="124"/>
      <c r="G36" s="124"/>
      <c r="H36" s="124"/>
      <c r="I36" s="126">
        <v>25.64</v>
      </c>
    </row>
    <row r="37" spans="1:12" ht="16" x14ac:dyDescent="0.2">
      <c r="C37" s="123" t="s">
        <v>20</v>
      </c>
      <c r="D37" s="124">
        <v>186.1</v>
      </c>
      <c r="E37" s="124">
        <v>120.8</v>
      </c>
      <c r="F37" s="124"/>
      <c r="G37" s="124">
        <v>136.76</v>
      </c>
      <c r="H37" s="124">
        <v>48.61</v>
      </c>
      <c r="I37" s="126">
        <v>34.92</v>
      </c>
      <c r="K37"/>
      <c r="L37"/>
    </row>
    <row r="38" spans="1:12" x14ac:dyDescent="0.2">
      <c r="C38" s="123" t="s">
        <v>21</v>
      </c>
      <c r="D38" s="124"/>
      <c r="E38" s="124">
        <v>50</v>
      </c>
      <c r="F38" s="124"/>
      <c r="G38" s="124"/>
      <c r="H38" s="124"/>
      <c r="I38" s="126">
        <v>14.9</v>
      </c>
    </row>
    <row r="39" spans="1:12" x14ac:dyDescent="0.2">
      <c r="C39" s="127" t="s">
        <v>91</v>
      </c>
      <c r="D39" s="124">
        <v>103.99</v>
      </c>
      <c r="E39" s="124"/>
      <c r="F39" s="124"/>
      <c r="G39" s="124">
        <v>93</v>
      </c>
      <c r="H39" s="124">
        <v>32.58</v>
      </c>
      <c r="I39" s="126">
        <v>15.18</v>
      </c>
    </row>
    <row r="40" spans="1:12" ht="15" thickBot="1" x14ac:dyDescent="0.25">
      <c r="C40" s="128" t="s">
        <v>95</v>
      </c>
      <c r="D40" s="125">
        <v>161.59</v>
      </c>
      <c r="E40" s="125"/>
      <c r="F40" s="125"/>
      <c r="G40" s="125">
        <v>153.51</v>
      </c>
      <c r="H40" s="125">
        <v>39.31</v>
      </c>
      <c r="I40" s="129">
        <v>22.42</v>
      </c>
    </row>
    <row r="41" spans="1:12" ht="15" thickBot="1" x14ac:dyDescent="0.25"/>
    <row r="42" spans="1:12" ht="16" thickBot="1" x14ac:dyDescent="0.25">
      <c r="A42" s="32"/>
      <c r="B42" s="33"/>
      <c r="C42" s="34"/>
      <c r="D42" s="64" t="s">
        <v>64</v>
      </c>
      <c r="E42" s="64" t="s">
        <v>65</v>
      </c>
      <c r="F42" s="64"/>
      <c r="G42" s="65" t="s">
        <v>58</v>
      </c>
      <c r="H42" s="66" t="s">
        <v>72</v>
      </c>
      <c r="I42" s="67"/>
    </row>
    <row r="43" spans="1:12" x14ac:dyDescent="0.2">
      <c r="A43" s="35">
        <v>1</v>
      </c>
      <c r="B43" s="25" t="s">
        <v>0</v>
      </c>
      <c r="C43" s="36" t="s">
        <v>18</v>
      </c>
      <c r="D43" s="62">
        <v>1967</v>
      </c>
      <c r="E43" s="62">
        <v>1975</v>
      </c>
      <c r="F43" s="62"/>
      <c r="G43" s="68">
        <v>198</v>
      </c>
      <c r="H43" s="63">
        <v>1</v>
      </c>
      <c r="J43" s="1" t="s">
        <v>103</v>
      </c>
    </row>
    <row r="44" spans="1:12" x14ac:dyDescent="0.2">
      <c r="A44" s="7">
        <v>7</v>
      </c>
      <c r="B44" s="8" t="s">
        <v>6</v>
      </c>
      <c r="C44" s="9" t="s">
        <v>32</v>
      </c>
      <c r="D44" s="59">
        <v>1967</v>
      </c>
      <c r="E44" s="59">
        <v>1998</v>
      </c>
      <c r="F44" s="59"/>
      <c r="G44" s="60">
        <v>228</v>
      </c>
      <c r="H44" s="69">
        <v>2</v>
      </c>
      <c r="J44" s="1" t="s">
        <v>73</v>
      </c>
    </row>
    <row r="45" spans="1:12" x14ac:dyDescent="0.2">
      <c r="A45" s="7">
        <v>2</v>
      </c>
      <c r="B45" s="8" t="s">
        <v>1</v>
      </c>
      <c r="C45" s="9" t="s">
        <v>31</v>
      </c>
      <c r="D45" s="59">
        <v>1989</v>
      </c>
      <c r="E45" s="59">
        <v>1993</v>
      </c>
      <c r="F45" s="59"/>
      <c r="G45" s="60">
        <v>400</v>
      </c>
      <c r="H45" s="69">
        <v>3</v>
      </c>
      <c r="J45" s="1" t="s">
        <v>104</v>
      </c>
    </row>
    <row r="46" spans="1:12" x14ac:dyDescent="0.2">
      <c r="A46" s="7">
        <v>8</v>
      </c>
      <c r="B46" s="8" t="s">
        <v>7</v>
      </c>
      <c r="C46" s="9" t="s">
        <v>22</v>
      </c>
      <c r="D46" s="59">
        <v>1991</v>
      </c>
      <c r="E46" s="59">
        <v>2005</v>
      </c>
      <c r="F46" s="59"/>
      <c r="G46" s="60">
        <v>327</v>
      </c>
      <c r="H46" s="69">
        <v>4</v>
      </c>
      <c r="J46" s="1" t="s">
        <v>101</v>
      </c>
    </row>
    <row r="47" spans="1:12" x14ac:dyDescent="0.2">
      <c r="A47" s="7">
        <v>3</v>
      </c>
      <c r="B47" s="8" t="s">
        <v>2</v>
      </c>
      <c r="C47" s="9" t="s">
        <v>19</v>
      </c>
      <c r="D47" s="59">
        <v>1993</v>
      </c>
      <c r="E47" s="59">
        <v>2006</v>
      </c>
      <c r="F47" s="59"/>
      <c r="G47" s="60">
        <v>535</v>
      </c>
      <c r="H47" s="69">
        <v>5</v>
      </c>
      <c r="J47" s="1" t="s">
        <v>105</v>
      </c>
    </row>
    <row r="48" spans="1:12" x14ac:dyDescent="0.2">
      <c r="A48" s="7">
        <v>15</v>
      </c>
      <c r="B48" s="8" t="s">
        <v>13</v>
      </c>
      <c r="C48" s="9" t="s">
        <v>27</v>
      </c>
      <c r="D48" s="59">
        <v>2006</v>
      </c>
      <c r="E48" s="59">
        <v>2006</v>
      </c>
      <c r="F48" s="59"/>
      <c r="G48" s="60">
        <v>198</v>
      </c>
      <c r="H48" s="69">
        <v>6</v>
      </c>
      <c r="J48" s="1" t="s">
        <v>76</v>
      </c>
    </row>
    <row r="49" spans="1:10" x14ac:dyDescent="0.2">
      <c r="A49" s="7">
        <v>9</v>
      </c>
      <c r="B49" s="8" t="s">
        <v>8</v>
      </c>
      <c r="C49" s="9" t="s">
        <v>23</v>
      </c>
      <c r="D49" s="59">
        <v>2005</v>
      </c>
      <c r="E49" s="59">
        <v>2011</v>
      </c>
      <c r="F49" s="59"/>
      <c r="G49" s="60">
        <v>214</v>
      </c>
      <c r="H49" s="69">
        <v>7</v>
      </c>
      <c r="J49" s="1" t="s">
        <v>74</v>
      </c>
    </row>
    <row r="50" spans="1:10" x14ac:dyDescent="0.2">
      <c r="A50" s="7">
        <v>17</v>
      </c>
      <c r="B50" s="8" t="s">
        <v>15</v>
      </c>
      <c r="C50" s="9" t="s">
        <v>26</v>
      </c>
      <c r="D50" s="59">
        <v>1993</v>
      </c>
      <c r="E50" s="59">
        <v>2012</v>
      </c>
      <c r="F50" s="59"/>
      <c r="G50" s="60">
        <v>626</v>
      </c>
      <c r="H50" s="69">
        <v>8</v>
      </c>
      <c r="J50" s="1" t="s">
        <v>76</v>
      </c>
    </row>
    <row r="51" spans="1:10" x14ac:dyDescent="0.2">
      <c r="A51" s="7">
        <v>4</v>
      </c>
      <c r="B51" s="8" t="s">
        <v>3</v>
      </c>
      <c r="C51" s="9" t="s">
        <v>20</v>
      </c>
      <c r="D51" s="59">
        <v>2006</v>
      </c>
      <c r="E51" s="59">
        <v>2009</v>
      </c>
      <c r="F51" s="59"/>
      <c r="G51" s="60">
        <v>817</v>
      </c>
      <c r="H51" s="69">
        <v>9</v>
      </c>
      <c r="J51" s="1" t="s">
        <v>106</v>
      </c>
    </row>
    <row r="52" spans="1:10" x14ac:dyDescent="0.2">
      <c r="A52" s="7">
        <v>12</v>
      </c>
      <c r="B52" s="8" t="s">
        <v>9</v>
      </c>
      <c r="C52" s="9" t="s">
        <v>38</v>
      </c>
      <c r="D52" s="59">
        <v>2006</v>
      </c>
      <c r="E52" s="59">
        <v>2010</v>
      </c>
      <c r="F52" s="59"/>
      <c r="G52" s="60">
        <v>210</v>
      </c>
      <c r="H52" s="69">
        <v>10</v>
      </c>
      <c r="J52" s="1" t="s">
        <v>102</v>
      </c>
    </row>
    <row r="53" spans="1:10" x14ac:dyDescent="0.2">
      <c r="A53" s="7">
        <v>10</v>
      </c>
      <c r="B53" s="8" t="s">
        <v>11</v>
      </c>
      <c r="C53" s="9" t="s">
        <v>37</v>
      </c>
      <c r="D53" s="59">
        <v>2010</v>
      </c>
      <c r="E53" s="59">
        <v>2013</v>
      </c>
      <c r="F53" s="59"/>
      <c r="G53" s="60">
        <v>272</v>
      </c>
      <c r="H53" s="69">
        <v>11</v>
      </c>
      <c r="J53" s="1" t="s">
        <v>102</v>
      </c>
    </row>
    <row r="54" spans="1:10" x14ac:dyDescent="0.2">
      <c r="A54" s="7">
        <v>5</v>
      </c>
      <c r="B54" s="8" t="s">
        <v>4</v>
      </c>
      <c r="C54" s="9" t="s">
        <v>21</v>
      </c>
      <c r="D54" s="59">
        <v>2009</v>
      </c>
      <c r="E54" s="59">
        <v>2013</v>
      </c>
      <c r="F54" s="59"/>
      <c r="G54" s="60">
        <v>266</v>
      </c>
      <c r="H54" s="69">
        <v>12</v>
      </c>
      <c r="J54" s="1" t="s">
        <v>107</v>
      </c>
    </row>
    <row r="55" spans="1:10" x14ac:dyDescent="0.2">
      <c r="A55" s="7">
        <v>13</v>
      </c>
      <c r="B55" s="8" t="s">
        <v>10</v>
      </c>
      <c r="C55" s="9" t="s">
        <v>24</v>
      </c>
      <c r="D55" s="59">
        <v>2010</v>
      </c>
      <c r="E55" s="59">
        <v>2015</v>
      </c>
      <c r="F55" s="59"/>
      <c r="G55" s="60">
        <v>148</v>
      </c>
      <c r="H55" s="69">
        <v>13</v>
      </c>
      <c r="J55" s="1" t="s">
        <v>75</v>
      </c>
    </row>
    <row r="56" spans="1:10" x14ac:dyDescent="0.2">
      <c r="A56" s="7">
        <v>14</v>
      </c>
      <c r="B56" s="8" t="s">
        <v>33</v>
      </c>
      <c r="C56" s="9" t="s">
        <v>34</v>
      </c>
      <c r="D56" s="59">
        <v>2012</v>
      </c>
      <c r="E56" s="59">
        <v>2015</v>
      </c>
      <c r="F56" s="59"/>
      <c r="G56" s="60">
        <v>356</v>
      </c>
      <c r="H56" s="69">
        <v>14</v>
      </c>
      <c r="J56" s="1" t="s">
        <v>75</v>
      </c>
    </row>
    <row r="57" spans="1:10" x14ac:dyDescent="0.2">
      <c r="A57" s="7">
        <v>6</v>
      </c>
      <c r="B57" s="8" t="s">
        <v>5</v>
      </c>
      <c r="C57" s="9" t="s">
        <v>91</v>
      </c>
      <c r="D57" s="59">
        <v>2013</v>
      </c>
      <c r="E57" s="59">
        <v>2015</v>
      </c>
      <c r="F57" s="59"/>
      <c r="G57" s="60">
        <v>278</v>
      </c>
      <c r="H57" s="69">
        <v>15</v>
      </c>
      <c r="J57" s="1" t="s">
        <v>108</v>
      </c>
    </row>
    <row r="58" spans="1:10" x14ac:dyDescent="0.2">
      <c r="A58" s="7">
        <v>16</v>
      </c>
      <c r="B58" s="8" t="s">
        <v>14</v>
      </c>
      <c r="C58" s="9" t="s">
        <v>28</v>
      </c>
      <c r="D58" s="59">
        <v>2006</v>
      </c>
      <c r="E58" s="59">
        <v>2015</v>
      </c>
      <c r="F58" s="59"/>
      <c r="G58" s="60">
        <v>350</v>
      </c>
      <c r="H58" s="69">
        <v>16</v>
      </c>
      <c r="J58" s="1" t="s">
        <v>76</v>
      </c>
    </row>
    <row r="59" spans="1:10" x14ac:dyDescent="0.2">
      <c r="A59" s="7">
        <v>11</v>
      </c>
      <c r="B59" s="8" t="s">
        <v>12</v>
      </c>
      <c r="C59" s="9" t="s">
        <v>35</v>
      </c>
      <c r="D59" s="59">
        <v>2005</v>
      </c>
      <c r="E59" s="59">
        <v>2016</v>
      </c>
      <c r="F59" s="59"/>
      <c r="G59" s="60">
        <v>234</v>
      </c>
      <c r="H59" s="69">
        <v>17</v>
      </c>
      <c r="J59" s="1" t="s">
        <v>109</v>
      </c>
    </row>
    <row r="60" spans="1:10" x14ac:dyDescent="0.2">
      <c r="A60" s="38">
        <v>19</v>
      </c>
      <c r="B60" s="39" t="s">
        <v>92</v>
      </c>
      <c r="C60" s="40" t="s">
        <v>95</v>
      </c>
      <c r="D60" s="70">
        <v>2005</v>
      </c>
      <c r="E60" s="70">
        <v>2019</v>
      </c>
      <c r="F60" s="70"/>
      <c r="G60" s="71">
        <v>600</v>
      </c>
      <c r="H60" s="72">
        <v>18</v>
      </c>
      <c r="J60" s="1" t="s">
        <v>98</v>
      </c>
    </row>
    <row r="61" spans="1:10" x14ac:dyDescent="0.2">
      <c r="A61" s="38">
        <v>20</v>
      </c>
      <c r="B61" s="39" t="s">
        <v>93</v>
      </c>
      <c r="C61" s="40" t="s">
        <v>94</v>
      </c>
      <c r="D61" s="70">
        <v>2018</v>
      </c>
      <c r="E61" s="70">
        <v>2019</v>
      </c>
      <c r="F61" s="70"/>
      <c r="G61" s="71">
        <v>372</v>
      </c>
      <c r="H61" s="72">
        <v>19</v>
      </c>
      <c r="J61" s="1" t="s">
        <v>97</v>
      </c>
    </row>
    <row r="62" spans="1:10" ht="15" thickBot="1" x14ac:dyDescent="0.25">
      <c r="A62" s="20">
        <v>21</v>
      </c>
      <c r="B62" s="21" t="s">
        <v>110</v>
      </c>
      <c r="C62" s="22" t="s">
        <v>111</v>
      </c>
      <c r="D62" s="61">
        <v>2020</v>
      </c>
      <c r="E62" s="61">
        <v>2020</v>
      </c>
      <c r="F62" s="61"/>
      <c r="G62" s="73">
        <v>125</v>
      </c>
      <c r="H62" s="74">
        <v>20</v>
      </c>
      <c r="J62" s="1" t="s">
        <v>76</v>
      </c>
    </row>
    <row r="63" spans="1:10" ht="15" thickBot="1" x14ac:dyDescent="0.25">
      <c r="A63" s="20">
        <v>22</v>
      </c>
      <c r="B63" s="21" t="s">
        <v>210</v>
      </c>
      <c r="C63" s="22" t="s">
        <v>213</v>
      </c>
      <c r="D63" s="61">
        <v>2022</v>
      </c>
      <c r="E63" s="61">
        <v>2026</v>
      </c>
      <c r="F63" s="61"/>
      <c r="G63" s="73">
        <v>125</v>
      </c>
      <c r="H63" s="74">
        <v>21</v>
      </c>
      <c r="J63" s="1" t="s">
        <v>76</v>
      </c>
    </row>
    <row r="65" spans="1:8" x14ac:dyDescent="0.2">
      <c r="G65" s="58">
        <f>SUM(G43:G64)</f>
        <v>6879</v>
      </c>
      <c r="H65" s="58" t="s">
        <v>77</v>
      </c>
    </row>
    <row r="67" spans="1:8" x14ac:dyDescent="0.2">
      <c r="A67" s="1" t="s">
        <v>78</v>
      </c>
      <c r="C67" s="23" t="s">
        <v>80</v>
      </c>
    </row>
    <row r="68" spans="1:8" x14ac:dyDescent="0.2">
      <c r="C68" s="23" t="s">
        <v>214</v>
      </c>
    </row>
    <row r="69" spans="1:8" x14ac:dyDescent="0.2">
      <c r="C69" s="23" t="s">
        <v>179</v>
      </c>
    </row>
    <row r="71" spans="1:8" x14ac:dyDescent="0.2">
      <c r="A71" s="1" t="s">
        <v>79</v>
      </c>
      <c r="C71" s="23" t="s">
        <v>81</v>
      </c>
    </row>
    <row r="72" spans="1:8" x14ac:dyDescent="0.2">
      <c r="C72" s="23" t="s">
        <v>82</v>
      </c>
    </row>
    <row r="73" spans="1:8" x14ac:dyDescent="0.2">
      <c r="C73" s="23" t="s">
        <v>83</v>
      </c>
    </row>
    <row r="75" spans="1:8" x14ac:dyDescent="0.2">
      <c r="A75" s="1" t="s">
        <v>84</v>
      </c>
      <c r="C75" s="23" t="s">
        <v>87</v>
      </c>
    </row>
    <row r="76" spans="1:8" x14ac:dyDescent="0.2">
      <c r="C76" s="23" t="s">
        <v>85</v>
      </c>
    </row>
    <row r="77" spans="1:8" x14ac:dyDescent="0.2">
      <c r="C77" s="23" t="s">
        <v>215</v>
      </c>
    </row>
  </sheetData>
  <phoneticPr fontId="1" type="noConversion"/>
  <pageMargins left="0.25" right="0.25" top="0.75" bottom="0.75" header="0.3" footer="0.3"/>
  <pageSetup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4"/>
  <sheetViews>
    <sheetView zoomScale="150" zoomScaleNormal="150" workbookViewId="0">
      <selection activeCell="J22" sqref="J4:J22"/>
    </sheetView>
  </sheetViews>
  <sheetFormatPr baseColWidth="10" defaultRowHeight="16" x14ac:dyDescent="0.2"/>
  <cols>
    <col min="1" max="1" width="4.1640625" customWidth="1"/>
    <col min="2" max="2" width="7.5" customWidth="1"/>
    <col min="3" max="3" width="20.5" customWidth="1"/>
    <col min="4" max="11" width="7.5" customWidth="1"/>
    <col min="12" max="12" width="10.6640625" customWidth="1"/>
  </cols>
  <sheetData>
    <row r="1" spans="1:13" ht="30" x14ac:dyDescent="0.2">
      <c r="A1" s="3"/>
      <c r="B1" s="4" t="s">
        <v>88</v>
      </c>
      <c r="C1" s="5" t="s">
        <v>89</v>
      </c>
      <c r="D1" s="4" t="s">
        <v>64</v>
      </c>
      <c r="E1" s="4" t="s">
        <v>65</v>
      </c>
      <c r="F1" s="6" t="s">
        <v>169</v>
      </c>
      <c r="G1" s="6" t="s">
        <v>63</v>
      </c>
      <c r="H1" s="42" t="s">
        <v>99</v>
      </c>
      <c r="I1" s="42"/>
      <c r="J1" s="56" t="s">
        <v>170</v>
      </c>
      <c r="K1" s="56" t="s">
        <v>171</v>
      </c>
      <c r="L1" s="56" t="s">
        <v>159</v>
      </c>
      <c r="M1" s="56" t="s">
        <v>160</v>
      </c>
    </row>
    <row r="2" spans="1:13" x14ac:dyDescent="0.2">
      <c r="A2" s="7">
        <v>1</v>
      </c>
      <c r="B2" s="8" t="s">
        <v>0</v>
      </c>
      <c r="C2" s="9" t="s">
        <v>18</v>
      </c>
      <c r="D2" s="8">
        <v>1967</v>
      </c>
      <c r="E2" s="8">
        <v>1974</v>
      </c>
      <c r="F2" s="10">
        <v>214</v>
      </c>
      <c r="G2" s="11">
        <v>11.24</v>
      </c>
      <c r="H2" s="43">
        <v>11.24</v>
      </c>
      <c r="I2" s="44">
        <v>42781</v>
      </c>
      <c r="J2" s="43">
        <v>12.28</v>
      </c>
      <c r="K2" s="43">
        <v>0.99</v>
      </c>
      <c r="L2" s="43">
        <v>0.99</v>
      </c>
      <c r="M2" s="43">
        <v>0</v>
      </c>
    </row>
    <row r="3" spans="1:13" x14ac:dyDescent="0.2">
      <c r="A3" s="7">
        <v>2</v>
      </c>
      <c r="B3" s="8" t="s">
        <v>1</v>
      </c>
      <c r="C3" s="9" t="s">
        <v>31</v>
      </c>
      <c r="D3" s="8">
        <v>1989</v>
      </c>
      <c r="E3" s="8">
        <v>1993</v>
      </c>
      <c r="F3" s="10">
        <v>391</v>
      </c>
      <c r="G3" s="11">
        <v>19</v>
      </c>
      <c r="H3" s="43">
        <v>19</v>
      </c>
      <c r="I3" s="44">
        <v>42782</v>
      </c>
      <c r="J3" s="43">
        <v>19.72</v>
      </c>
      <c r="K3" s="43">
        <v>0.99</v>
      </c>
      <c r="L3" s="43">
        <v>0.99</v>
      </c>
      <c r="M3" s="43">
        <v>0</v>
      </c>
    </row>
    <row r="4" spans="1:13" x14ac:dyDescent="0.2">
      <c r="A4" s="14">
        <v>3</v>
      </c>
      <c r="B4" s="15" t="s">
        <v>2</v>
      </c>
      <c r="C4" s="16" t="s">
        <v>19</v>
      </c>
      <c r="D4" s="15">
        <v>1993</v>
      </c>
      <c r="E4" s="15">
        <v>2006</v>
      </c>
      <c r="F4" s="17">
        <v>535</v>
      </c>
      <c r="G4" s="18">
        <v>12.65</v>
      </c>
      <c r="H4" s="43">
        <v>25.35</v>
      </c>
      <c r="I4" s="44">
        <v>38814</v>
      </c>
      <c r="J4" s="43">
        <v>25.64</v>
      </c>
      <c r="K4" s="43">
        <v>0.99</v>
      </c>
      <c r="L4" s="43"/>
      <c r="M4" s="43">
        <v>0</v>
      </c>
    </row>
    <row r="5" spans="1:13" x14ac:dyDescent="0.2">
      <c r="A5" s="14">
        <v>4</v>
      </c>
      <c r="B5" s="15" t="s">
        <v>3</v>
      </c>
      <c r="C5" s="16" t="s">
        <v>20</v>
      </c>
      <c r="D5" s="15">
        <v>2006</v>
      </c>
      <c r="E5" s="15">
        <v>2009</v>
      </c>
      <c r="F5" s="17">
        <v>753</v>
      </c>
      <c r="G5" s="18">
        <v>15.65</v>
      </c>
      <c r="H5" s="43">
        <v>86.43</v>
      </c>
      <c r="I5" s="44">
        <v>40073</v>
      </c>
      <c r="J5" s="43">
        <v>34.92</v>
      </c>
      <c r="K5" s="43">
        <v>0.99</v>
      </c>
      <c r="L5" s="43"/>
      <c r="M5" s="43">
        <v>0</v>
      </c>
    </row>
    <row r="6" spans="1:13" x14ac:dyDescent="0.2">
      <c r="A6" s="14">
        <v>5</v>
      </c>
      <c r="B6" s="15" t="s">
        <v>4</v>
      </c>
      <c r="C6" s="16" t="s">
        <v>21</v>
      </c>
      <c r="D6" s="15">
        <v>2009</v>
      </c>
      <c r="E6" s="15">
        <v>2013</v>
      </c>
      <c r="F6" s="17">
        <v>276</v>
      </c>
      <c r="G6" s="18">
        <v>6.81</v>
      </c>
      <c r="H6" s="43">
        <v>50</v>
      </c>
      <c r="I6" s="44">
        <v>41365</v>
      </c>
      <c r="J6" s="43">
        <v>14.9</v>
      </c>
      <c r="K6" s="43">
        <v>0.99</v>
      </c>
      <c r="L6" s="43"/>
      <c r="M6" s="43">
        <v>0</v>
      </c>
    </row>
    <row r="7" spans="1:13" x14ac:dyDescent="0.2">
      <c r="A7" s="14">
        <v>6</v>
      </c>
      <c r="B7" s="15" t="s">
        <v>5</v>
      </c>
      <c r="C7" s="16" t="s">
        <v>91</v>
      </c>
      <c r="D7" s="15">
        <v>2013</v>
      </c>
      <c r="E7" s="15">
        <v>2015</v>
      </c>
      <c r="F7" s="17">
        <v>283</v>
      </c>
      <c r="G7" s="18">
        <v>7.01</v>
      </c>
      <c r="H7" s="43">
        <v>104.06</v>
      </c>
      <c r="I7" s="44">
        <v>42327</v>
      </c>
      <c r="J7" s="43">
        <v>15.18</v>
      </c>
      <c r="K7" s="43">
        <v>0.99</v>
      </c>
      <c r="L7" s="43"/>
      <c r="M7" s="43">
        <v>0</v>
      </c>
    </row>
    <row r="8" spans="1:13" x14ac:dyDescent="0.2">
      <c r="A8" s="7">
        <v>7</v>
      </c>
      <c r="B8" s="8" t="s">
        <v>6</v>
      </c>
      <c r="C8" s="9" t="s">
        <v>32</v>
      </c>
      <c r="D8" s="8">
        <v>1967</v>
      </c>
      <c r="E8" s="8">
        <v>1998</v>
      </c>
      <c r="F8" s="10">
        <v>241</v>
      </c>
      <c r="G8" s="11">
        <v>12.12</v>
      </c>
      <c r="H8" s="43">
        <v>11.24</v>
      </c>
      <c r="I8" s="44">
        <v>42395</v>
      </c>
      <c r="J8" s="43">
        <v>13.42</v>
      </c>
      <c r="K8" s="43">
        <v>0.99</v>
      </c>
      <c r="L8" s="43">
        <v>0.99</v>
      </c>
      <c r="M8" s="43">
        <v>0</v>
      </c>
    </row>
    <row r="9" spans="1:13" x14ac:dyDescent="0.2">
      <c r="A9" s="7">
        <v>8</v>
      </c>
      <c r="B9" s="8" t="s">
        <v>7</v>
      </c>
      <c r="C9" s="9" t="s">
        <v>22</v>
      </c>
      <c r="D9" s="8">
        <v>1991</v>
      </c>
      <c r="E9" s="8">
        <v>2005</v>
      </c>
      <c r="F9" s="10">
        <v>320</v>
      </c>
      <c r="G9" s="11">
        <v>16.600000000000001</v>
      </c>
      <c r="H9" s="43">
        <v>16.600000000000001</v>
      </c>
      <c r="I9" s="44">
        <v>42773</v>
      </c>
      <c r="J9" s="43">
        <v>16.739999999999998</v>
      </c>
      <c r="K9" s="43">
        <v>0.99</v>
      </c>
      <c r="L9" s="43">
        <v>0.99</v>
      </c>
      <c r="M9" s="43">
        <v>0</v>
      </c>
    </row>
    <row r="10" spans="1:13" x14ac:dyDescent="0.2">
      <c r="A10" s="7">
        <v>9</v>
      </c>
      <c r="B10" s="8" t="s">
        <v>8</v>
      </c>
      <c r="C10" s="9" t="s">
        <v>23</v>
      </c>
      <c r="D10" s="8">
        <v>2005</v>
      </c>
      <c r="E10" s="8">
        <v>2011</v>
      </c>
      <c r="F10" s="10">
        <v>210</v>
      </c>
      <c r="G10" s="11">
        <v>11.56</v>
      </c>
      <c r="H10" s="43">
        <v>11.56</v>
      </c>
      <c r="I10" s="44">
        <v>42773</v>
      </c>
      <c r="J10" s="43">
        <v>12.12</v>
      </c>
      <c r="K10" s="43">
        <v>0.99</v>
      </c>
      <c r="L10" s="43">
        <v>0.99</v>
      </c>
      <c r="M10" s="43">
        <v>0</v>
      </c>
    </row>
    <row r="11" spans="1:13" x14ac:dyDescent="0.2">
      <c r="A11" s="7">
        <v>10</v>
      </c>
      <c r="B11" s="8" t="s">
        <v>11</v>
      </c>
      <c r="C11" s="9" t="s">
        <v>37</v>
      </c>
      <c r="D11" s="8">
        <v>2010</v>
      </c>
      <c r="E11" s="8">
        <v>2013</v>
      </c>
      <c r="F11" s="10">
        <v>271</v>
      </c>
      <c r="G11" s="11">
        <v>13.96</v>
      </c>
      <c r="H11" s="43">
        <v>13.96</v>
      </c>
      <c r="I11" s="44">
        <v>43182</v>
      </c>
      <c r="J11" s="43">
        <v>14.68</v>
      </c>
      <c r="K11" s="43">
        <v>0.99</v>
      </c>
      <c r="L11" s="43">
        <v>0.99</v>
      </c>
      <c r="M11" s="43">
        <v>0</v>
      </c>
    </row>
    <row r="12" spans="1:13" x14ac:dyDescent="0.2">
      <c r="A12" s="7">
        <v>11</v>
      </c>
      <c r="B12" s="8" t="s">
        <v>12</v>
      </c>
      <c r="C12" s="9" t="s">
        <v>35</v>
      </c>
      <c r="D12" s="8">
        <v>2005</v>
      </c>
      <c r="E12" s="8">
        <v>2016</v>
      </c>
      <c r="F12" s="10">
        <v>421</v>
      </c>
      <c r="G12" s="11">
        <v>12.04</v>
      </c>
      <c r="H12" s="43">
        <v>8.07</v>
      </c>
      <c r="I12" s="44">
        <v>43506</v>
      </c>
      <c r="J12" s="43">
        <v>20.98</v>
      </c>
      <c r="K12" s="43">
        <v>0.99</v>
      </c>
      <c r="L12" s="43">
        <v>0.99</v>
      </c>
      <c r="M12" s="43">
        <v>0</v>
      </c>
    </row>
    <row r="13" spans="1:13" x14ac:dyDescent="0.2">
      <c r="A13" s="7">
        <v>12</v>
      </c>
      <c r="B13" s="8" t="s">
        <v>9</v>
      </c>
      <c r="C13" s="9" t="s">
        <v>38</v>
      </c>
      <c r="D13" s="8">
        <v>2006</v>
      </c>
      <c r="E13" s="8">
        <v>2010</v>
      </c>
      <c r="F13" s="10">
        <v>203</v>
      </c>
      <c r="G13" s="11">
        <v>11.4</v>
      </c>
      <c r="H13" s="43">
        <v>11.4</v>
      </c>
      <c r="I13" s="44">
        <v>42773</v>
      </c>
      <c r="J13" s="43">
        <v>11.82</v>
      </c>
      <c r="K13" s="43">
        <v>0.99</v>
      </c>
      <c r="L13" s="43">
        <v>0.99</v>
      </c>
      <c r="M13" s="43">
        <v>0</v>
      </c>
    </row>
    <row r="14" spans="1:13" x14ac:dyDescent="0.2">
      <c r="A14" s="7">
        <v>13</v>
      </c>
      <c r="B14" s="8" t="s">
        <v>10</v>
      </c>
      <c r="C14" s="9" t="s">
        <v>24</v>
      </c>
      <c r="D14" s="8">
        <v>2010</v>
      </c>
      <c r="E14" s="8">
        <v>2015</v>
      </c>
      <c r="F14" s="10">
        <v>141</v>
      </c>
      <c r="G14" s="11">
        <v>8.92</v>
      </c>
      <c r="H14" s="43">
        <v>8.92</v>
      </c>
      <c r="I14" s="44">
        <v>42781</v>
      </c>
      <c r="J14" s="43">
        <v>9.2200000000000006</v>
      </c>
      <c r="K14" s="43">
        <v>0.99</v>
      </c>
      <c r="L14" s="43">
        <v>0.99</v>
      </c>
      <c r="M14" s="43">
        <v>0</v>
      </c>
    </row>
    <row r="15" spans="1:13" x14ac:dyDescent="0.2">
      <c r="A15" s="7">
        <v>14</v>
      </c>
      <c r="B15" s="8" t="s">
        <v>33</v>
      </c>
      <c r="C15" s="9" t="s">
        <v>34</v>
      </c>
      <c r="D15" s="8">
        <v>2012</v>
      </c>
      <c r="E15" s="8">
        <v>2015</v>
      </c>
      <c r="F15" s="10">
        <v>342</v>
      </c>
      <c r="G15" s="11">
        <v>17</v>
      </c>
      <c r="H15" s="43">
        <v>17</v>
      </c>
      <c r="I15" s="44">
        <v>43183</v>
      </c>
      <c r="J15" s="43">
        <v>17.66</v>
      </c>
      <c r="K15" s="43">
        <v>0.99</v>
      </c>
      <c r="L15" s="43">
        <v>0.99</v>
      </c>
      <c r="M15" s="43">
        <v>0</v>
      </c>
    </row>
    <row r="16" spans="1:13" x14ac:dyDescent="0.2">
      <c r="A16" s="7">
        <v>15</v>
      </c>
      <c r="B16" s="8" t="s">
        <v>13</v>
      </c>
      <c r="C16" s="9" t="s">
        <v>27</v>
      </c>
      <c r="D16" s="8">
        <v>2006</v>
      </c>
      <c r="E16" s="8">
        <v>2006</v>
      </c>
      <c r="F16" s="10">
        <v>189</v>
      </c>
      <c r="G16" s="11">
        <v>10.92</v>
      </c>
      <c r="H16" s="43">
        <v>11.56</v>
      </c>
      <c r="I16" s="44">
        <v>42773</v>
      </c>
      <c r="J16" s="43">
        <v>11.24</v>
      </c>
      <c r="K16" s="43">
        <v>0.99</v>
      </c>
      <c r="L16" s="43">
        <v>0.99</v>
      </c>
      <c r="M16" s="43">
        <v>0</v>
      </c>
    </row>
    <row r="17" spans="1:13" x14ac:dyDescent="0.2">
      <c r="A17" s="7">
        <v>16</v>
      </c>
      <c r="B17" s="8" t="s">
        <v>14</v>
      </c>
      <c r="C17" s="9" t="s">
        <v>28</v>
      </c>
      <c r="D17" s="8">
        <v>2006</v>
      </c>
      <c r="E17" s="8">
        <v>2015</v>
      </c>
      <c r="F17" s="10">
        <v>345</v>
      </c>
      <c r="G17" s="11">
        <v>17</v>
      </c>
      <c r="H17" s="43">
        <v>17</v>
      </c>
      <c r="I17" s="44">
        <v>43182</v>
      </c>
      <c r="J17" s="43">
        <v>17.8</v>
      </c>
      <c r="K17" s="43">
        <v>0.99</v>
      </c>
      <c r="L17" s="43">
        <v>0.99</v>
      </c>
      <c r="M17" s="43">
        <v>0</v>
      </c>
    </row>
    <row r="18" spans="1:13" x14ac:dyDescent="0.2">
      <c r="A18" s="7">
        <v>17</v>
      </c>
      <c r="B18" s="8" t="s">
        <v>15</v>
      </c>
      <c r="C18" s="9" t="s">
        <v>26</v>
      </c>
      <c r="D18" s="8">
        <v>1993</v>
      </c>
      <c r="E18" s="8">
        <v>2012</v>
      </c>
      <c r="F18" s="10">
        <v>409</v>
      </c>
      <c r="G18" s="11">
        <v>28.04</v>
      </c>
      <c r="H18" s="43">
        <v>28.04</v>
      </c>
      <c r="I18" s="44">
        <v>43182</v>
      </c>
      <c r="J18" s="43">
        <v>20.48</v>
      </c>
      <c r="K18" s="43">
        <v>0.99</v>
      </c>
      <c r="L18" s="43">
        <v>0.99</v>
      </c>
      <c r="M18" s="43">
        <v>0</v>
      </c>
    </row>
    <row r="19" spans="1:13" x14ac:dyDescent="0.2">
      <c r="A19" s="7">
        <v>18</v>
      </c>
      <c r="B19" s="8" t="s">
        <v>59</v>
      </c>
      <c r="C19" s="9" t="s">
        <v>36</v>
      </c>
      <c r="D19" s="8">
        <v>2015</v>
      </c>
      <c r="E19" s="8">
        <v>2017</v>
      </c>
      <c r="F19" s="10">
        <v>264</v>
      </c>
      <c r="G19" s="11">
        <v>11.32</v>
      </c>
      <c r="H19" s="43">
        <v>11.08</v>
      </c>
      <c r="I19" s="44">
        <v>43182</v>
      </c>
      <c r="J19" s="43">
        <v>14.38</v>
      </c>
      <c r="K19" s="43">
        <v>0.99</v>
      </c>
      <c r="L19" s="43">
        <v>0.99</v>
      </c>
      <c r="M19" s="43">
        <v>0</v>
      </c>
    </row>
    <row r="20" spans="1:13" x14ac:dyDescent="0.2">
      <c r="A20" s="14">
        <v>19</v>
      </c>
      <c r="B20" s="15" t="s">
        <v>92</v>
      </c>
      <c r="C20" s="16" t="s">
        <v>95</v>
      </c>
      <c r="D20" s="15">
        <v>2005</v>
      </c>
      <c r="E20" s="15">
        <v>2018</v>
      </c>
      <c r="F20" s="17">
        <v>455</v>
      </c>
      <c r="G20" s="18">
        <v>10.33</v>
      </c>
      <c r="H20" s="43">
        <v>155</v>
      </c>
      <c r="I20" s="42"/>
      <c r="J20" s="43">
        <v>22.42</v>
      </c>
      <c r="K20" s="43">
        <v>0.99</v>
      </c>
      <c r="L20" s="43"/>
      <c r="M20" s="43">
        <v>0</v>
      </c>
    </row>
    <row r="21" spans="1:13" x14ac:dyDescent="0.2">
      <c r="A21" s="7">
        <v>20</v>
      </c>
      <c r="B21" s="8" t="s">
        <v>93</v>
      </c>
      <c r="C21" s="9" t="s">
        <v>94</v>
      </c>
      <c r="D21" s="8">
        <v>2018</v>
      </c>
      <c r="E21" s="8">
        <v>2018</v>
      </c>
      <c r="F21" s="10">
        <v>461</v>
      </c>
      <c r="G21" s="11">
        <v>11.08</v>
      </c>
      <c r="H21" s="43">
        <v>11.08</v>
      </c>
      <c r="I21" s="44">
        <v>43351</v>
      </c>
      <c r="J21" s="43">
        <v>42.02</v>
      </c>
      <c r="K21" s="43">
        <v>0.99</v>
      </c>
      <c r="L21" s="43">
        <v>0.99</v>
      </c>
      <c r="M21" s="43">
        <v>0</v>
      </c>
    </row>
    <row r="22" spans="1:13" x14ac:dyDescent="0.2">
      <c r="A22" s="7">
        <v>21</v>
      </c>
      <c r="B22" s="8" t="s">
        <v>110</v>
      </c>
      <c r="C22" s="9" t="s">
        <v>111</v>
      </c>
      <c r="D22" s="8">
        <v>2018</v>
      </c>
      <c r="E22" s="8">
        <v>2018</v>
      </c>
      <c r="F22" s="10">
        <v>123</v>
      </c>
      <c r="G22" s="11">
        <v>11.08</v>
      </c>
      <c r="H22" s="43">
        <v>11.08</v>
      </c>
      <c r="I22" s="44">
        <v>43351</v>
      </c>
      <c r="J22" s="43">
        <v>13.64</v>
      </c>
      <c r="K22" s="43">
        <v>0.99</v>
      </c>
      <c r="L22" s="43">
        <v>0.99</v>
      </c>
      <c r="M22" s="43">
        <v>0</v>
      </c>
    </row>
    <row r="23" spans="1:13" x14ac:dyDescent="0.2">
      <c r="A23" s="7"/>
      <c r="B23" s="8" t="s">
        <v>16</v>
      </c>
      <c r="C23" s="9"/>
      <c r="D23" s="8"/>
      <c r="E23" s="8"/>
      <c r="F23" s="8"/>
      <c r="G23" s="8"/>
      <c r="H23" s="43"/>
      <c r="I23" s="42"/>
      <c r="J23" s="43"/>
      <c r="K23" s="43"/>
      <c r="L23" s="43"/>
    </row>
    <row r="24" spans="1:13" x14ac:dyDescent="0.2">
      <c r="A24" s="7"/>
      <c r="B24" s="8" t="s">
        <v>25</v>
      </c>
      <c r="C24" s="9" t="s">
        <v>29</v>
      </c>
      <c r="D24" s="8">
        <v>2002</v>
      </c>
      <c r="E24" s="8"/>
      <c r="F24" s="8"/>
      <c r="G24" s="8"/>
      <c r="H24" s="43"/>
      <c r="I24" s="42"/>
      <c r="J24" s="43"/>
      <c r="K24" s="43"/>
    </row>
    <row r="25" spans="1:13" ht="17" thickBot="1" x14ac:dyDescent="0.25">
      <c r="A25" s="20"/>
      <c r="B25" s="21" t="s">
        <v>17</v>
      </c>
      <c r="C25" s="22" t="s">
        <v>30</v>
      </c>
      <c r="D25" s="21">
        <v>2011</v>
      </c>
      <c r="E25" s="21"/>
      <c r="F25" s="21"/>
      <c r="G25" s="21"/>
      <c r="H25" s="43"/>
      <c r="I25" s="42"/>
      <c r="J25" s="43"/>
      <c r="K25" s="43"/>
    </row>
    <row r="26" spans="1:13" x14ac:dyDescent="0.2">
      <c r="A26" s="1"/>
      <c r="B26" s="1"/>
      <c r="C26" s="23"/>
      <c r="D26" s="1"/>
      <c r="E26" s="1"/>
      <c r="F26" s="1">
        <f>SUM(F2:F25)</f>
        <v>6847</v>
      </c>
      <c r="G26" s="1">
        <f>SUM(G2:G25)</f>
        <v>275.72999999999996</v>
      </c>
      <c r="H26" s="1">
        <f>SUM(H2:H25)</f>
        <v>639.67000000000007</v>
      </c>
      <c r="I26" s="42"/>
      <c r="J26" s="57">
        <f>SUM(J2:J25)</f>
        <v>381.26</v>
      </c>
      <c r="K26" s="57">
        <f>SUM(K2:K25)</f>
        <v>20.789999999999996</v>
      </c>
    </row>
    <row r="27" spans="1:13" ht="17" thickBot="1" x14ac:dyDescent="0.25">
      <c r="A27" s="1"/>
      <c r="B27" s="1"/>
      <c r="C27" s="23"/>
      <c r="D27" s="1"/>
      <c r="E27" s="1"/>
      <c r="F27" s="1"/>
      <c r="G27" s="1"/>
      <c r="H27" s="41"/>
    </row>
    <row r="28" spans="1:13" x14ac:dyDescent="0.2">
      <c r="A28" s="1"/>
      <c r="B28" s="1"/>
      <c r="C28" s="24"/>
      <c r="D28" s="25" t="s">
        <v>67</v>
      </c>
      <c r="E28" s="25" t="s">
        <v>68</v>
      </c>
      <c r="F28" s="25" t="s">
        <v>69</v>
      </c>
      <c r="G28" s="26" t="s">
        <v>70</v>
      </c>
      <c r="H28" s="41"/>
    </row>
    <row r="29" spans="1:13" x14ac:dyDescent="0.2">
      <c r="A29" s="1"/>
      <c r="B29" s="1"/>
      <c r="C29" s="27" t="s">
        <v>19</v>
      </c>
      <c r="D29" s="28">
        <v>10.75</v>
      </c>
      <c r="E29" s="28"/>
      <c r="F29" s="28">
        <v>10.210000000000001</v>
      </c>
      <c r="G29" s="29"/>
      <c r="H29" s="41"/>
    </row>
    <row r="30" spans="1:13" x14ac:dyDescent="0.2">
      <c r="A30" s="1"/>
      <c r="B30" s="1"/>
      <c r="C30" s="27" t="s">
        <v>20</v>
      </c>
      <c r="D30" s="28"/>
      <c r="E30" s="28">
        <v>94.98</v>
      </c>
      <c r="F30" s="28">
        <v>47.99</v>
      </c>
      <c r="G30" s="29">
        <v>23.23</v>
      </c>
      <c r="H30" s="41"/>
    </row>
    <row r="31" spans="1:13" x14ac:dyDescent="0.2">
      <c r="A31" s="1"/>
      <c r="B31" s="1"/>
      <c r="C31" s="27" t="s">
        <v>21</v>
      </c>
      <c r="D31" s="28"/>
      <c r="E31" s="28">
        <v>50</v>
      </c>
      <c r="F31" s="28" t="s">
        <v>71</v>
      </c>
      <c r="G31" s="29"/>
      <c r="H31" s="41"/>
    </row>
    <row r="32" spans="1:13" ht="17" thickBot="1" x14ac:dyDescent="0.25">
      <c r="A32" s="1"/>
      <c r="B32" s="1"/>
      <c r="C32" s="37" t="s">
        <v>91</v>
      </c>
      <c r="D32" s="30">
        <v>101.33</v>
      </c>
      <c r="E32" s="30">
        <v>107.78</v>
      </c>
      <c r="F32" s="30">
        <v>88</v>
      </c>
      <c r="G32" s="31">
        <v>32.380000000000003</v>
      </c>
      <c r="H32" s="41"/>
    </row>
    <row r="33" spans="1:8" ht="17" thickBot="1" x14ac:dyDescent="0.25">
      <c r="A33" s="1"/>
      <c r="B33" s="1"/>
      <c r="C33" s="37" t="s">
        <v>95</v>
      </c>
      <c r="D33" s="30"/>
      <c r="E33" s="30" t="s">
        <v>100</v>
      </c>
      <c r="F33" s="30"/>
      <c r="G33" s="31"/>
      <c r="H33" s="41"/>
    </row>
    <row r="34" spans="1:8" x14ac:dyDescent="0.2">
      <c r="A34" s="1"/>
      <c r="B34" s="1"/>
      <c r="C34" s="23"/>
      <c r="D34" s="1"/>
      <c r="E34" s="1"/>
      <c r="F34" s="1"/>
      <c r="G34" s="1"/>
    </row>
  </sheetData>
  <pageMargins left="0.75" right="0.75" top="1" bottom="1" header="0.5" footer="0.5"/>
  <pageSetup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2A774-79D8-1743-A631-D169D3F773D3}">
  <dimension ref="B1:K27"/>
  <sheetViews>
    <sheetView zoomScale="125" zoomScaleNormal="125" workbookViewId="0">
      <selection activeCell="L20" sqref="L20"/>
    </sheetView>
  </sheetViews>
  <sheetFormatPr baseColWidth="10" defaultRowHeight="19" x14ac:dyDescent="0.25"/>
  <cols>
    <col min="1" max="1" width="3.1640625" style="46" customWidth="1"/>
    <col min="2" max="2" width="5" style="46" customWidth="1"/>
    <col min="3" max="3" width="14.6640625" style="46" customWidth="1"/>
    <col min="4" max="4" width="7.6640625" style="46" customWidth="1"/>
    <col min="5" max="5" width="8.33203125" style="46" customWidth="1"/>
    <col min="6" max="6" width="12.33203125" style="46" customWidth="1"/>
    <col min="7" max="7" width="17.1640625" style="46" customWidth="1"/>
    <col min="8" max="8" width="5.83203125" style="46" customWidth="1"/>
    <col min="9" max="9" width="6.83203125" style="46" customWidth="1"/>
    <col min="10" max="10" width="7" style="46" customWidth="1"/>
    <col min="11" max="11" width="16.83203125" style="46" customWidth="1"/>
    <col min="12" max="16384" width="10.83203125" style="46"/>
  </cols>
  <sheetData>
    <row r="1" spans="2:11" s="45" customFormat="1" ht="20" thickBot="1" x14ac:dyDescent="0.3">
      <c r="C1" s="45" t="s">
        <v>123</v>
      </c>
      <c r="H1" s="45" t="s">
        <v>124</v>
      </c>
    </row>
    <row r="2" spans="2:11" ht="20" thickBot="1" x14ac:dyDescent="0.3">
      <c r="B2" s="47">
        <v>1</v>
      </c>
      <c r="C2" s="48" t="s">
        <v>125</v>
      </c>
      <c r="D2" s="48" t="s">
        <v>126</v>
      </c>
      <c r="E2" s="48" t="s">
        <v>127</v>
      </c>
      <c r="F2" s="49" t="s">
        <v>128</v>
      </c>
      <c r="H2" s="47" t="s">
        <v>129</v>
      </c>
      <c r="I2" s="48" t="s">
        <v>126</v>
      </c>
      <c r="J2" s="49" t="s">
        <v>130</v>
      </c>
    </row>
    <row r="3" spans="2:11" ht="20" thickBot="1" x14ac:dyDescent="0.3">
      <c r="B3" s="50">
        <v>2</v>
      </c>
      <c r="C3" s="51" t="s">
        <v>131</v>
      </c>
      <c r="D3" s="51" t="s">
        <v>126</v>
      </c>
      <c r="E3" s="51" t="s">
        <v>132</v>
      </c>
      <c r="F3" s="52"/>
      <c r="G3" s="46" t="s">
        <v>133</v>
      </c>
      <c r="H3" s="47" t="s">
        <v>129</v>
      </c>
      <c r="I3" s="51" t="s">
        <v>126</v>
      </c>
      <c r="J3" s="52" t="s">
        <v>130</v>
      </c>
    </row>
    <row r="4" spans="2:11" ht="20" thickBot="1" x14ac:dyDescent="0.3">
      <c r="B4" s="50">
        <v>3</v>
      </c>
      <c r="C4" s="51" t="s">
        <v>134</v>
      </c>
      <c r="D4" s="51" t="s">
        <v>126</v>
      </c>
      <c r="E4" s="48" t="s">
        <v>127</v>
      </c>
      <c r="F4" s="49" t="s">
        <v>128</v>
      </c>
      <c r="H4" s="50"/>
      <c r="I4" s="51"/>
      <c r="J4" s="52"/>
      <c r="K4" s="46" t="s">
        <v>135</v>
      </c>
    </row>
    <row r="5" spans="2:11" ht="20" thickBot="1" x14ac:dyDescent="0.3">
      <c r="B5" s="50">
        <v>4</v>
      </c>
      <c r="C5" s="51" t="s">
        <v>136</v>
      </c>
      <c r="D5" s="51" t="s">
        <v>126</v>
      </c>
      <c r="E5" s="48" t="s">
        <v>127</v>
      </c>
      <c r="F5" s="49" t="s">
        <v>128</v>
      </c>
      <c r="H5" s="50"/>
      <c r="I5" s="51"/>
      <c r="J5" s="52"/>
      <c r="K5" s="46" t="s">
        <v>135</v>
      </c>
    </row>
    <row r="6" spans="2:11" ht="20" thickBot="1" x14ac:dyDescent="0.3">
      <c r="B6" s="50">
        <v>5</v>
      </c>
      <c r="C6" s="51" t="s">
        <v>137</v>
      </c>
      <c r="D6" s="51" t="s">
        <v>126</v>
      </c>
      <c r="E6" s="48" t="s">
        <v>127</v>
      </c>
      <c r="F6" s="49" t="s">
        <v>128</v>
      </c>
      <c r="H6" s="50"/>
      <c r="I6" s="51"/>
      <c r="J6" s="52"/>
      <c r="K6" s="46" t="s">
        <v>135</v>
      </c>
    </row>
    <row r="7" spans="2:11" ht="20" thickBot="1" x14ac:dyDescent="0.3">
      <c r="B7" s="50">
        <v>6</v>
      </c>
      <c r="C7" s="51" t="s">
        <v>138</v>
      </c>
      <c r="D7" s="51" t="s">
        <v>126</v>
      </c>
      <c r="E7" s="48" t="s">
        <v>127</v>
      </c>
      <c r="F7" s="49" t="s">
        <v>128</v>
      </c>
      <c r="H7" s="50"/>
      <c r="I7" s="51"/>
      <c r="J7" s="52"/>
      <c r="K7" s="46" t="s">
        <v>135</v>
      </c>
    </row>
    <row r="8" spans="2:11" ht="20" thickBot="1" x14ac:dyDescent="0.3">
      <c r="B8" s="50">
        <v>7</v>
      </c>
      <c r="C8" s="51" t="s">
        <v>139</v>
      </c>
      <c r="D8" s="51" t="s">
        <v>126</v>
      </c>
      <c r="E8" s="51" t="s">
        <v>127</v>
      </c>
      <c r="F8" s="52" t="s">
        <v>128</v>
      </c>
      <c r="H8" s="47" t="s">
        <v>129</v>
      </c>
      <c r="I8" s="51" t="s">
        <v>126</v>
      </c>
      <c r="J8" s="52" t="s">
        <v>130</v>
      </c>
    </row>
    <row r="9" spans="2:11" ht="20" thickBot="1" x14ac:dyDescent="0.3">
      <c r="B9" s="50">
        <v>8</v>
      </c>
      <c r="C9" s="51" t="s">
        <v>140</v>
      </c>
      <c r="D9" s="51" t="s">
        <v>126</v>
      </c>
      <c r="E9" s="51" t="s">
        <v>127</v>
      </c>
      <c r="F9" s="52" t="s">
        <v>128</v>
      </c>
      <c r="H9" s="47" t="s">
        <v>129</v>
      </c>
      <c r="I9" s="51" t="s">
        <v>126</v>
      </c>
      <c r="J9" s="52" t="s">
        <v>130</v>
      </c>
    </row>
    <row r="10" spans="2:11" ht="20" thickBot="1" x14ac:dyDescent="0.3">
      <c r="B10" s="50">
        <v>9</v>
      </c>
      <c r="C10" s="51" t="s">
        <v>141</v>
      </c>
      <c r="D10" s="51" t="s">
        <v>126</v>
      </c>
      <c r="E10" s="51" t="s">
        <v>127</v>
      </c>
      <c r="F10" s="52" t="s">
        <v>128</v>
      </c>
      <c r="H10" s="47" t="s">
        <v>129</v>
      </c>
      <c r="I10" s="51" t="s">
        <v>126</v>
      </c>
      <c r="J10" s="52" t="s">
        <v>130</v>
      </c>
    </row>
    <row r="11" spans="2:11" ht="20" thickBot="1" x14ac:dyDescent="0.3">
      <c r="B11" s="50">
        <v>10</v>
      </c>
      <c r="C11" s="51" t="s">
        <v>142</v>
      </c>
      <c r="D11" s="51" t="s">
        <v>126</v>
      </c>
      <c r="E11" s="51" t="s">
        <v>127</v>
      </c>
      <c r="F11" s="52" t="s">
        <v>128</v>
      </c>
      <c r="H11" s="47" t="s">
        <v>129</v>
      </c>
      <c r="I11" s="51" t="s">
        <v>126</v>
      </c>
      <c r="J11" s="52" t="s">
        <v>130</v>
      </c>
    </row>
    <row r="12" spans="2:11" ht="20" thickBot="1" x14ac:dyDescent="0.3">
      <c r="B12" s="50">
        <v>11</v>
      </c>
      <c r="C12" s="51" t="s">
        <v>143</v>
      </c>
      <c r="D12" s="51" t="s">
        <v>126</v>
      </c>
      <c r="E12" s="51" t="s">
        <v>127</v>
      </c>
      <c r="F12" s="52" t="s">
        <v>128</v>
      </c>
      <c r="G12" s="46" t="s">
        <v>16</v>
      </c>
      <c r="H12" s="47" t="s">
        <v>129</v>
      </c>
      <c r="I12" s="51" t="s">
        <v>126</v>
      </c>
      <c r="J12" s="52" t="s">
        <v>130</v>
      </c>
    </row>
    <row r="13" spans="2:11" ht="20" thickBot="1" x14ac:dyDescent="0.3">
      <c r="B13" s="50">
        <v>12</v>
      </c>
      <c r="C13" s="51" t="s">
        <v>144</v>
      </c>
      <c r="D13" s="51" t="s">
        <v>126</v>
      </c>
      <c r="E13" s="51" t="s">
        <v>132</v>
      </c>
      <c r="F13" s="52"/>
      <c r="G13" s="46" t="s">
        <v>133</v>
      </c>
      <c r="H13" s="47" t="s">
        <v>129</v>
      </c>
      <c r="I13" s="51" t="s">
        <v>126</v>
      </c>
      <c r="J13" s="52" t="s">
        <v>130</v>
      </c>
    </row>
    <row r="14" spans="2:11" ht="20" thickBot="1" x14ac:dyDescent="0.3">
      <c r="B14" s="50">
        <v>13</v>
      </c>
      <c r="C14" s="51" t="s">
        <v>145</v>
      </c>
      <c r="D14" s="51" t="s">
        <v>126</v>
      </c>
      <c r="E14" s="51" t="s">
        <v>132</v>
      </c>
      <c r="F14" s="52"/>
      <c r="G14" s="46" t="s">
        <v>133</v>
      </c>
      <c r="H14" s="47" t="s">
        <v>129</v>
      </c>
      <c r="I14" s="51" t="s">
        <v>126</v>
      </c>
      <c r="J14" s="52" t="s">
        <v>130</v>
      </c>
    </row>
    <row r="15" spans="2:11" ht="20" thickBot="1" x14ac:dyDescent="0.3">
      <c r="B15" s="50">
        <v>14</v>
      </c>
      <c r="C15" s="51" t="s">
        <v>146</v>
      </c>
      <c r="D15" s="51" t="s">
        <v>126</v>
      </c>
      <c r="E15" s="51" t="s">
        <v>127</v>
      </c>
      <c r="F15" s="52" t="s">
        <v>128</v>
      </c>
      <c r="H15" s="47" t="s">
        <v>129</v>
      </c>
      <c r="I15" s="51" t="s">
        <v>126</v>
      </c>
      <c r="J15" s="52" t="s">
        <v>130</v>
      </c>
      <c r="K15" s="46" t="s">
        <v>133</v>
      </c>
    </row>
    <row r="16" spans="2:11" ht="20" thickBot="1" x14ac:dyDescent="0.3">
      <c r="B16" s="50">
        <v>15</v>
      </c>
      <c r="C16" s="51" t="s">
        <v>147</v>
      </c>
      <c r="D16" s="51" t="s">
        <v>126</v>
      </c>
      <c r="E16" s="51" t="s">
        <v>127</v>
      </c>
      <c r="F16" s="52" t="s">
        <v>128</v>
      </c>
      <c r="H16" s="47" t="s">
        <v>129</v>
      </c>
      <c r="I16" s="51" t="s">
        <v>126</v>
      </c>
      <c r="J16" s="52" t="s">
        <v>130</v>
      </c>
    </row>
    <row r="17" spans="2:11" ht="20" thickBot="1" x14ac:dyDescent="0.3">
      <c r="B17" s="50">
        <v>16</v>
      </c>
      <c r="C17" s="51" t="s">
        <v>148</v>
      </c>
      <c r="D17" s="51" t="s">
        <v>126</v>
      </c>
      <c r="E17" s="51" t="s">
        <v>127</v>
      </c>
      <c r="F17" s="52" t="s">
        <v>128</v>
      </c>
      <c r="H17" s="47" t="s">
        <v>129</v>
      </c>
      <c r="I17" s="51" t="s">
        <v>126</v>
      </c>
      <c r="J17" s="52" t="s">
        <v>130</v>
      </c>
    </row>
    <row r="18" spans="2:11" ht="20" thickBot="1" x14ac:dyDescent="0.3">
      <c r="B18" s="50">
        <v>17</v>
      </c>
      <c r="C18" s="51" t="s">
        <v>149</v>
      </c>
      <c r="D18" s="51" t="s">
        <v>126</v>
      </c>
      <c r="E18" s="51" t="s">
        <v>127</v>
      </c>
      <c r="F18" s="52" t="s">
        <v>128</v>
      </c>
      <c r="G18" s="46" t="s">
        <v>16</v>
      </c>
      <c r="H18" s="47" t="s">
        <v>129</v>
      </c>
      <c r="I18" s="51" t="s">
        <v>126</v>
      </c>
      <c r="J18" s="52" t="s">
        <v>130</v>
      </c>
    </row>
    <row r="19" spans="2:11" ht="20" thickBot="1" x14ac:dyDescent="0.3">
      <c r="B19" s="50">
        <v>18</v>
      </c>
      <c r="C19" s="51" t="s">
        <v>150</v>
      </c>
      <c r="D19" s="51" t="s">
        <v>126</v>
      </c>
      <c r="E19" s="51" t="s">
        <v>127</v>
      </c>
      <c r="F19" s="52"/>
      <c r="G19" s="46" t="s">
        <v>16</v>
      </c>
      <c r="H19" s="47" t="s">
        <v>129</v>
      </c>
      <c r="I19" s="51" t="s">
        <v>126</v>
      </c>
      <c r="J19" s="52" t="s">
        <v>130</v>
      </c>
    </row>
    <row r="20" spans="2:11" x14ac:dyDescent="0.25">
      <c r="B20" s="50">
        <v>19</v>
      </c>
      <c r="C20" s="51" t="s">
        <v>151</v>
      </c>
      <c r="D20" s="51" t="s">
        <v>126</v>
      </c>
      <c r="E20" s="48" t="s">
        <v>127</v>
      </c>
      <c r="F20" s="49" t="s">
        <v>128</v>
      </c>
      <c r="H20" s="50"/>
      <c r="I20" s="51"/>
      <c r="J20" s="52"/>
      <c r="K20" s="46" t="s">
        <v>135</v>
      </c>
    </row>
    <row r="21" spans="2:11" ht="20" thickBot="1" x14ac:dyDescent="0.3">
      <c r="B21" s="50">
        <v>20</v>
      </c>
      <c r="C21" s="51" t="s">
        <v>152</v>
      </c>
      <c r="D21" s="51" t="s">
        <v>126</v>
      </c>
      <c r="E21" s="51" t="s">
        <v>127</v>
      </c>
      <c r="F21" s="52" t="s">
        <v>128</v>
      </c>
      <c r="H21" s="50"/>
      <c r="I21" s="51"/>
      <c r="J21" s="52"/>
      <c r="K21" s="46" t="s">
        <v>153</v>
      </c>
    </row>
    <row r="22" spans="2:11" x14ac:dyDescent="0.25">
      <c r="B22" s="50">
        <v>21</v>
      </c>
      <c r="C22" s="51" t="s">
        <v>154</v>
      </c>
      <c r="D22" s="51" t="s">
        <v>126</v>
      </c>
      <c r="E22" s="51" t="s">
        <v>127</v>
      </c>
      <c r="F22" s="52" t="s">
        <v>128</v>
      </c>
      <c r="H22" s="47" t="s">
        <v>129</v>
      </c>
      <c r="I22" s="51" t="s">
        <v>126</v>
      </c>
      <c r="J22" s="52" t="s">
        <v>130</v>
      </c>
    </row>
    <row r="23" spans="2:11" x14ac:dyDescent="0.25">
      <c r="B23" s="50"/>
      <c r="C23" s="51"/>
      <c r="D23" s="51"/>
      <c r="E23" s="51"/>
      <c r="F23" s="52"/>
      <c r="H23" s="50"/>
      <c r="I23" s="51"/>
      <c r="J23" s="52"/>
    </row>
    <row r="24" spans="2:11" ht="20" thickBot="1" x14ac:dyDescent="0.3">
      <c r="B24" s="50" t="s">
        <v>155</v>
      </c>
      <c r="C24" s="51">
        <f>COUNTIF(C2:C22,"&lt;&gt; ''")</f>
        <v>21</v>
      </c>
      <c r="D24" s="51">
        <f>COUNTIF(D2:D22,"epub")</f>
        <v>21</v>
      </c>
      <c r="E24" s="51">
        <f>COUNTIF(E2:E22,"lulu")</f>
        <v>18</v>
      </c>
      <c r="F24" s="52">
        <f>COUNTIF(F2:F22,"ordered")</f>
        <v>17</v>
      </c>
      <c r="G24" s="46" t="s">
        <v>156</v>
      </c>
      <c r="H24" s="53">
        <f>COUNTIF(H2:H22,"pdf")</f>
        <v>15</v>
      </c>
      <c r="I24" s="54">
        <f>COUNTIF(I2:I22,"epub")</f>
        <v>15</v>
      </c>
      <c r="J24" s="55">
        <f>COUNTIF(J2:J22,"mobi")</f>
        <v>15</v>
      </c>
    </row>
    <row r="25" spans="2:11" ht="20" thickBot="1" x14ac:dyDescent="0.3">
      <c r="B25" s="53"/>
      <c r="C25" s="54"/>
      <c r="D25" s="54"/>
      <c r="E25" s="54">
        <f>COUNTIF(E2:E22,"conflict")</f>
        <v>3</v>
      </c>
      <c r="F25" s="55"/>
      <c r="G25" s="46" t="s">
        <v>157</v>
      </c>
    </row>
    <row r="27" spans="2:11" x14ac:dyDescent="0.25">
      <c r="C27" s="46" t="s">
        <v>158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Lulu</vt:lpstr>
      <vt:lpstr>Amazon</vt:lpstr>
      <vt:lpstr>revised pubs</vt:lpstr>
      <vt:lpstr>Lulu!Print_Area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Gerry Stahl</dc:creator>
  <cp:lastModifiedBy>Gerry Stahl</cp:lastModifiedBy>
  <cp:lastPrinted>2022-07-04T23:55:01Z</cp:lastPrinted>
  <dcterms:created xsi:type="dcterms:W3CDTF">2015-05-15T14:48:56Z</dcterms:created>
  <dcterms:modified xsi:type="dcterms:W3CDTF">2026-03-02T03:39:27Z</dcterms:modified>
</cp:coreProperties>
</file>