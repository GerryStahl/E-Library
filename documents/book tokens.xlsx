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Stahl2/Library/CloudStorage/Dropbox/Mac (3)/Desktop/Gerry's RAG/"/>
    </mc:Choice>
  </mc:AlternateContent>
  <xr:revisionPtr revIDLastSave="0" documentId="13_ncr:1_{8D17E31E-0183-9441-B730-27303FD815B3}" xr6:coauthVersionLast="47" xr6:coauthVersionMax="47" xr10:uidLastSave="{00000000-0000-0000-0000-000000000000}"/>
  <bookViews>
    <workbookView xWindow="0" yWindow="680" windowWidth="13500" windowHeight="18960" xr2:uid="{AC063953-1315-5641-903B-4AA64DBA7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C26" i="1"/>
  <c r="C27" i="1" s="1"/>
  <c r="C25" i="1"/>
  <c r="L8" i="1"/>
  <c r="K4" i="1"/>
  <c r="L4" i="1"/>
  <c r="K5" i="1"/>
  <c r="L5" i="1"/>
  <c r="K6" i="1"/>
  <c r="L6" i="1"/>
  <c r="K7" i="1"/>
  <c r="L7" i="1"/>
  <c r="K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L3" i="1"/>
  <c r="K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I3" i="1"/>
  <c r="J3" i="1"/>
  <c r="H3" i="1"/>
  <c r="E26" i="1"/>
  <c r="H26" i="1" s="1"/>
  <c r="F26" i="1"/>
  <c r="L26" i="1" s="1"/>
  <c r="G26" i="1"/>
  <c r="J26" i="1" s="1"/>
  <c r="D26" i="1"/>
  <c r="E25" i="1"/>
  <c r="F25" i="1"/>
  <c r="G25" i="1"/>
  <c r="D25" i="1"/>
  <c r="J25" i="1" l="1"/>
  <c r="L25" i="1"/>
  <c r="I26" i="1"/>
  <c r="K26" i="1"/>
  <c r="E27" i="1"/>
  <c r="K25" i="1"/>
  <c r="F27" i="1"/>
  <c r="I25" i="1"/>
  <c r="H25" i="1"/>
  <c r="G27" i="1"/>
</calcChain>
</file>

<file path=xl/sharedStrings.xml><?xml version="1.0" encoding="utf-8"?>
<sst xmlns="http://schemas.openxmlformats.org/spreadsheetml/2006/main" count="20" uniqueCount="19">
  <si>
    <t>book</t>
  </si>
  <si>
    <t>pages</t>
  </si>
  <si>
    <t>words</t>
  </si>
  <si>
    <t>paragraphs</t>
  </si>
  <si>
    <t>average</t>
  </si>
  <si>
    <t>total</t>
  </si>
  <si>
    <t>docx versions of 1/14/2026</t>
  </si>
  <si>
    <t>PP/p</t>
  </si>
  <si>
    <t>av words/p</t>
  </si>
  <si>
    <t>av. / page:</t>
  </si>
  <si>
    <t>wd/p</t>
  </si>
  <si>
    <t>pp/p</t>
  </si>
  <si>
    <t>words/pp</t>
  </si>
  <si>
    <t>ingest: if paragragh; if sentence; if 35 words; if 200 tokens -- overlap</t>
  </si>
  <si>
    <t>letters</t>
  </si>
  <si>
    <t>letters/p</t>
  </si>
  <si>
    <t>letters/pp</t>
  </si>
  <si>
    <t>chapters</t>
  </si>
  <si>
    <t>av tokens/chapter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</si>
</sst>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5" xfId="0" applyFont="1" applyBorder="1" applyAlignment="1">
      <alignment horizontal="right"/>
    </xf>
    <xf numFmtId="38" fontId="0" fillId="0" borderId="1" xfId="0" applyNumberFormat="1" applyBorder="1" applyAlignment="1">
      <alignment horizontal="right"/>
    </xf>
    <xf numFmtId="38" fontId="0" fillId="0" borderId="6" xfId="0" applyNumberFormat="1" applyBorder="1" applyAlignment="1">
      <alignment horizontal="right"/>
    </xf>
    <xf numFmtId="38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38" fontId="0" fillId="0" borderId="0" xfId="0" applyNumberFormat="1" applyAlignment="1">
      <alignment horizontal="right"/>
    </xf>
    <xf numFmtId="0" fontId="1" fillId="0" borderId="10" xfId="0" applyFont="1" applyBorder="1" applyAlignment="1">
      <alignment horizontal="right"/>
    </xf>
    <xf numFmtId="38" fontId="0" fillId="0" borderId="11" xfId="0" applyNumberFormat="1" applyBorder="1" applyAlignment="1">
      <alignment horizontal="right"/>
    </xf>
    <xf numFmtId="38" fontId="0" fillId="0" borderId="12" xfId="0" applyNumberFormat="1" applyBorder="1" applyAlignment="1">
      <alignment horizontal="right"/>
    </xf>
    <xf numFmtId="0" fontId="1" fillId="0" borderId="13" xfId="0" applyFont="1" applyBorder="1" applyAlignment="1">
      <alignment horizontal="right"/>
    </xf>
    <xf numFmtId="38" fontId="0" fillId="0" borderId="14" xfId="0" applyNumberFormat="1" applyBorder="1" applyAlignment="1">
      <alignment horizontal="right"/>
    </xf>
    <xf numFmtId="38" fontId="0" fillId="0" borderId="15" xfId="0" applyNumberFormat="1" applyBorder="1" applyAlignment="1">
      <alignment horizontal="righ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18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right"/>
    </xf>
    <xf numFmtId="38" fontId="1" fillId="2" borderId="3" xfId="0" applyNumberFormat="1" applyFont="1" applyFill="1" applyBorder="1" applyAlignment="1">
      <alignment horizontal="right"/>
    </xf>
    <xf numFmtId="38" fontId="1" fillId="2" borderId="4" xfId="0" applyNumberFormat="1" applyFont="1" applyFill="1" applyBorder="1" applyAlignment="1">
      <alignment horizontal="right"/>
    </xf>
    <xf numFmtId="38" fontId="1" fillId="2" borderId="8" xfId="0" applyNumberFormat="1" applyFont="1" applyFill="1" applyBorder="1" applyAlignment="1">
      <alignment horizontal="right"/>
    </xf>
    <xf numFmtId="38" fontId="1" fillId="2" borderId="9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8" fontId="2" fillId="0" borderId="0" xfId="0" applyNumberFormat="1" applyFont="1" applyAlignment="1">
      <alignment horizontal="right"/>
    </xf>
    <xf numFmtId="38" fontId="1" fillId="0" borderId="0" xfId="0" applyNumberFormat="1" applyFont="1"/>
    <xf numFmtId="38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A282-9EEC-2C4C-99CC-BABBCD1A43B4}">
  <dimension ref="A1:L31"/>
  <sheetViews>
    <sheetView tabSelected="1" topLeftCell="B1" zoomScale="130" zoomScaleNormal="130" workbookViewId="0">
      <selection activeCell="C27" sqref="C27"/>
    </sheetView>
  </sheetViews>
  <sheetFormatPr baseColWidth="10" defaultRowHeight="16" x14ac:dyDescent="0.2"/>
  <cols>
    <col min="1" max="1" width="13.1640625" style="6" customWidth="1"/>
    <col min="2" max="2" width="10.5" style="7" customWidth="1"/>
    <col min="3" max="4" width="11.5" style="6" customWidth="1"/>
    <col min="5" max="7" width="10.5" style="6" customWidth="1"/>
    <col min="8" max="8" width="10.83203125" style="5"/>
  </cols>
  <sheetData>
    <row r="1" spans="1:12" ht="17" thickBot="1" x14ac:dyDescent="0.25"/>
    <row r="2" spans="1:12" s="1" customFormat="1" ht="17" thickBot="1" x14ac:dyDescent="0.25">
      <c r="A2" s="7"/>
      <c r="B2" s="15" t="s">
        <v>0</v>
      </c>
      <c r="C2" s="16" t="s">
        <v>17</v>
      </c>
      <c r="D2" s="16" t="s">
        <v>1</v>
      </c>
      <c r="E2" s="16" t="s">
        <v>2</v>
      </c>
      <c r="F2" s="16" t="s">
        <v>14</v>
      </c>
      <c r="G2" s="17" t="s">
        <v>3</v>
      </c>
      <c r="H2" s="27" t="s">
        <v>10</v>
      </c>
      <c r="I2" s="1" t="s">
        <v>15</v>
      </c>
      <c r="J2" s="1" t="s">
        <v>11</v>
      </c>
      <c r="K2" s="1" t="s">
        <v>12</v>
      </c>
      <c r="L2" s="1" t="s">
        <v>16</v>
      </c>
    </row>
    <row r="3" spans="1:12" x14ac:dyDescent="0.2">
      <c r="B3" s="12">
        <v>1</v>
      </c>
      <c r="C3" s="13">
        <v>12</v>
      </c>
      <c r="D3" s="13">
        <v>202</v>
      </c>
      <c r="E3" s="13">
        <v>75183</v>
      </c>
      <c r="F3" s="13">
        <v>483449</v>
      </c>
      <c r="G3" s="14">
        <v>942</v>
      </c>
      <c r="H3" s="5">
        <f>+E3/$D3</f>
        <v>372.19306930693068</v>
      </c>
      <c r="I3" s="5">
        <f t="shared" ref="I3:J3" si="0">+F3/$D3</f>
        <v>2393.3118811881186</v>
      </c>
      <c r="J3" s="5">
        <f t="shared" si="0"/>
        <v>4.6633663366336631</v>
      </c>
      <c r="K3" s="5">
        <f>+E3/$G3</f>
        <v>79.812101910828019</v>
      </c>
      <c r="L3" s="5">
        <f>+F3/$G3</f>
        <v>513.21549893842882</v>
      </c>
    </row>
    <row r="4" spans="1:12" x14ac:dyDescent="0.2">
      <c r="B4" s="2">
        <v>2</v>
      </c>
      <c r="C4" s="13">
        <v>14</v>
      </c>
      <c r="D4" s="3">
        <v>366</v>
      </c>
      <c r="E4" s="3">
        <v>128372</v>
      </c>
      <c r="F4" s="3">
        <v>828781</v>
      </c>
      <c r="G4" s="4">
        <v>2394</v>
      </c>
      <c r="H4" s="5">
        <f t="shared" ref="H4:H26" si="1">+E4/$D4</f>
        <v>350.74316939890713</v>
      </c>
      <c r="I4" s="5">
        <f t="shared" ref="I4:I26" si="2">+F4/$D4</f>
        <v>2264.4289617486338</v>
      </c>
      <c r="J4" s="5">
        <f t="shared" ref="J4:J26" si="3">+G4/$D4</f>
        <v>6.5409836065573774</v>
      </c>
      <c r="K4" s="5">
        <f t="shared" ref="K4:K26" si="4">+E4/$G4</f>
        <v>53.622389306599835</v>
      </c>
      <c r="L4" s="5">
        <f t="shared" ref="L4:L26" si="5">+F4/$G4</f>
        <v>346.19089390142022</v>
      </c>
    </row>
    <row r="5" spans="1:12" x14ac:dyDescent="0.2">
      <c r="B5" s="2">
        <v>3</v>
      </c>
      <c r="C5" s="13">
        <v>25</v>
      </c>
      <c r="D5" s="3">
        <v>499</v>
      </c>
      <c r="E5" s="3">
        <v>190903</v>
      </c>
      <c r="F5" s="3">
        <v>1238187</v>
      </c>
      <c r="G5" s="4">
        <v>3344</v>
      </c>
      <c r="H5" s="5">
        <f t="shared" si="1"/>
        <v>382.57114228456913</v>
      </c>
      <c r="I5" s="5">
        <f t="shared" si="2"/>
        <v>2481.3366733466933</v>
      </c>
      <c r="J5" s="5">
        <f t="shared" si="3"/>
        <v>6.701402805611222</v>
      </c>
      <c r="K5" s="5">
        <f t="shared" si="4"/>
        <v>57.088217703349279</v>
      </c>
      <c r="L5" s="5">
        <f t="shared" si="5"/>
        <v>370.27123205741628</v>
      </c>
    </row>
    <row r="6" spans="1:12" x14ac:dyDescent="0.2">
      <c r="B6" s="2">
        <v>4</v>
      </c>
      <c r="C6" s="13">
        <v>35</v>
      </c>
      <c r="D6" s="3">
        <v>705</v>
      </c>
      <c r="E6" s="3">
        <v>240056</v>
      </c>
      <c r="F6" s="3">
        <v>1555540</v>
      </c>
      <c r="G6" s="4">
        <v>6734</v>
      </c>
      <c r="H6" s="5">
        <f t="shared" si="1"/>
        <v>340.50496453900712</v>
      </c>
      <c r="I6" s="5">
        <f t="shared" si="2"/>
        <v>2206.4397163120566</v>
      </c>
      <c r="J6" s="5">
        <f t="shared" si="3"/>
        <v>9.5517730496453908</v>
      </c>
      <c r="K6" s="5">
        <f t="shared" si="4"/>
        <v>35.64835164835165</v>
      </c>
      <c r="L6" s="5">
        <f t="shared" si="5"/>
        <v>230.997920997921</v>
      </c>
    </row>
    <row r="7" spans="1:12" x14ac:dyDescent="0.2">
      <c r="B7" s="2">
        <v>5</v>
      </c>
      <c r="C7" s="13">
        <v>12</v>
      </c>
      <c r="D7" s="3">
        <v>264</v>
      </c>
      <c r="E7" s="3">
        <v>75787</v>
      </c>
      <c r="F7" s="3">
        <v>487861</v>
      </c>
      <c r="G7" s="4">
        <v>3106</v>
      </c>
      <c r="H7" s="5">
        <f t="shared" si="1"/>
        <v>287.07196969696969</v>
      </c>
      <c r="I7" s="5">
        <f t="shared" si="2"/>
        <v>1847.9583333333333</v>
      </c>
      <c r="J7" s="5">
        <f t="shared" si="3"/>
        <v>11.765151515151516</v>
      </c>
      <c r="K7" s="5">
        <f t="shared" si="4"/>
        <v>24.400193174500966</v>
      </c>
      <c r="L7" s="5">
        <f t="shared" si="5"/>
        <v>157.07050869285254</v>
      </c>
    </row>
    <row r="8" spans="1:12" x14ac:dyDescent="0.2">
      <c r="B8" s="2">
        <v>6</v>
      </c>
      <c r="C8" s="13">
        <v>13</v>
      </c>
      <c r="D8" s="3">
        <v>273</v>
      </c>
      <c r="E8" s="3">
        <v>92929</v>
      </c>
      <c r="F8" s="3">
        <v>584917</v>
      </c>
      <c r="G8" s="4">
        <v>5230</v>
      </c>
      <c r="H8" s="5">
        <f t="shared" si="1"/>
        <v>340.39926739926739</v>
      </c>
      <c r="I8" s="5">
        <f t="shared" si="2"/>
        <v>2142.5531135531137</v>
      </c>
      <c r="J8" s="5">
        <f t="shared" si="3"/>
        <v>19.157509157509157</v>
      </c>
      <c r="K8" s="5">
        <f t="shared" si="4"/>
        <v>17.768451242829826</v>
      </c>
      <c r="L8" s="5">
        <f>+F8/$G8</f>
        <v>111.83881453154876</v>
      </c>
    </row>
    <row r="9" spans="1:12" x14ac:dyDescent="0.2">
      <c r="B9" s="2">
        <v>7</v>
      </c>
      <c r="C9" s="13">
        <v>21</v>
      </c>
      <c r="D9" s="3">
        <v>227</v>
      </c>
      <c r="E9" s="3">
        <v>78778</v>
      </c>
      <c r="F9" s="3">
        <v>495968</v>
      </c>
      <c r="G9" s="4">
        <v>1230</v>
      </c>
      <c r="H9" s="5">
        <f t="shared" si="1"/>
        <v>347.03964757709252</v>
      </c>
      <c r="I9" s="5">
        <f t="shared" si="2"/>
        <v>2184.8810572687225</v>
      </c>
      <c r="J9" s="5">
        <f t="shared" si="3"/>
        <v>5.4185022026431717</v>
      </c>
      <c r="K9" s="5">
        <f t="shared" si="4"/>
        <v>64.047154471544715</v>
      </c>
      <c r="L9" s="5">
        <f t="shared" si="5"/>
        <v>403.22601626016262</v>
      </c>
    </row>
    <row r="10" spans="1:12" x14ac:dyDescent="0.2">
      <c r="B10" s="2">
        <v>8</v>
      </c>
      <c r="C10" s="13">
        <v>18</v>
      </c>
      <c r="D10" s="3">
        <v>303</v>
      </c>
      <c r="E10" s="3">
        <v>103548</v>
      </c>
      <c r="F10" s="3">
        <v>686024</v>
      </c>
      <c r="G10" s="4">
        <v>2353</v>
      </c>
      <c r="H10" s="5">
        <f t="shared" si="1"/>
        <v>341.74257425742576</v>
      </c>
      <c r="I10" s="5">
        <f t="shared" si="2"/>
        <v>2264.105610561056</v>
      </c>
      <c r="J10" s="5">
        <f t="shared" si="3"/>
        <v>7.7656765676567661</v>
      </c>
      <c r="K10" s="5">
        <f t="shared" si="4"/>
        <v>44.006799830004248</v>
      </c>
      <c r="L10" s="5">
        <f t="shared" si="5"/>
        <v>291.55291117722055</v>
      </c>
    </row>
    <row r="11" spans="1:12" x14ac:dyDescent="0.2">
      <c r="B11" s="2">
        <v>9</v>
      </c>
      <c r="C11" s="13">
        <v>12</v>
      </c>
      <c r="D11" s="3">
        <v>196</v>
      </c>
      <c r="E11" s="3">
        <v>71278</v>
      </c>
      <c r="F11" s="3">
        <v>470773</v>
      </c>
      <c r="G11" s="4">
        <v>1242</v>
      </c>
      <c r="H11" s="5">
        <f t="shared" si="1"/>
        <v>363.66326530612247</v>
      </c>
      <c r="I11" s="5">
        <f t="shared" si="2"/>
        <v>2401.9030612244896</v>
      </c>
      <c r="J11" s="5">
        <f t="shared" si="3"/>
        <v>6.3367346938775508</v>
      </c>
      <c r="K11" s="5">
        <f t="shared" si="4"/>
        <v>57.389694041867955</v>
      </c>
      <c r="L11" s="5">
        <f t="shared" si="5"/>
        <v>379.04428341384863</v>
      </c>
    </row>
    <row r="12" spans="1:12" x14ac:dyDescent="0.2">
      <c r="B12" s="2">
        <v>10</v>
      </c>
      <c r="C12" s="13">
        <v>11</v>
      </c>
      <c r="D12" s="3">
        <v>237</v>
      </c>
      <c r="E12" s="3">
        <v>87650</v>
      </c>
      <c r="F12" s="3">
        <v>569544</v>
      </c>
      <c r="G12" s="4">
        <v>3985</v>
      </c>
      <c r="H12" s="5">
        <f t="shared" si="1"/>
        <v>369.83122362869199</v>
      </c>
      <c r="I12" s="5">
        <f t="shared" si="2"/>
        <v>2403.1392405063293</v>
      </c>
      <c r="J12" s="5">
        <f t="shared" si="3"/>
        <v>16.814345991561183</v>
      </c>
      <c r="K12" s="5">
        <f t="shared" si="4"/>
        <v>21.994981179422837</v>
      </c>
      <c r="L12" s="5">
        <f t="shared" si="5"/>
        <v>142.9219573400251</v>
      </c>
    </row>
    <row r="13" spans="1:12" x14ac:dyDescent="0.2">
      <c r="B13" s="2">
        <v>11</v>
      </c>
      <c r="C13" s="13">
        <v>15</v>
      </c>
      <c r="D13" s="3">
        <v>396</v>
      </c>
      <c r="E13" s="3">
        <v>148613</v>
      </c>
      <c r="F13" s="3">
        <v>1005179</v>
      </c>
      <c r="G13" s="4">
        <v>3188</v>
      </c>
      <c r="H13" s="5">
        <f t="shared" si="1"/>
        <v>375.28535353535352</v>
      </c>
      <c r="I13" s="5">
        <f t="shared" si="2"/>
        <v>2538.3308080808079</v>
      </c>
      <c r="J13" s="5">
        <f t="shared" si="3"/>
        <v>8.0505050505050502</v>
      </c>
      <c r="K13" s="5">
        <f t="shared" si="4"/>
        <v>46.616373902132999</v>
      </c>
      <c r="L13" s="5">
        <f t="shared" si="5"/>
        <v>315.3008155583438</v>
      </c>
    </row>
    <row r="14" spans="1:12" x14ac:dyDescent="0.2">
      <c r="B14" s="2">
        <v>12</v>
      </c>
      <c r="C14" s="13">
        <v>8</v>
      </c>
      <c r="D14" s="3">
        <v>192</v>
      </c>
      <c r="E14" s="3">
        <v>66406</v>
      </c>
      <c r="F14" s="3">
        <v>425918</v>
      </c>
      <c r="G14" s="4">
        <v>2961</v>
      </c>
      <c r="H14" s="5">
        <f t="shared" si="1"/>
        <v>345.86458333333331</v>
      </c>
      <c r="I14" s="5">
        <f t="shared" si="2"/>
        <v>2218.3229166666665</v>
      </c>
      <c r="J14" s="5">
        <f t="shared" si="3"/>
        <v>15.421875</v>
      </c>
      <c r="K14" s="5">
        <f t="shared" si="4"/>
        <v>22.426882809861532</v>
      </c>
      <c r="L14" s="5">
        <f t="shared" si="5"/>
        <v>143.84262073623776</v>
      </c>
    </row>
    <row r="15" spans="1:12" x14ac:dyDescent="0.2">
      <c r="B15" s="2">
        <v>13</v>
      </c>
      <c r="C15" s="13">
        <v>10</v>
      </c>
      <c r="D15" s="3">
        <v>156</v>
      </c>
      <c r="E15" s="3">
        <v>48616</v>
      </c>
      <c r="F15" s="3">
        <v>330086</v>
      </c>
      <c r="G15" s="4">
        <v>1541</v>
      </c>
      <c r="H15" s="5">
        <f t="shared" si="1"/>
        <v>311.64102564102564</v>
      </c>
      <c r="I15" s="5">
        <f t="shared" si="2"/>
        <v>2115.9358974358975</v>
      </c>
      <c r="J15" s="5">
        <f t="shared" si="3"/>
        <v>9.8782051282051277</v>
      </c>
      <c r="K15" s="5">
        <f t="shared" si="4"/>
        <v>31.54834523036989</v>
      </c>
      <c r="L15" s="5">
        <f t="shared" si="5"/>
        <v>214.20246593121351</v>
      </c>
    </row>
    <row r="16" spans="1:12" x14ac:dyDescent="0.2">
      <c r="B16" s="2">
        <v>14</v>
      </c>
      <c r="C16" s="13">
        <v>4</v>
      </c>
      <c r="D16" s="3">
        <v>334</v>
      </c>
      <c r="E16" s="3">
        <v>62486</v>
      </c>
      <c r="F16" s="3">
        <v>365952</v>
      </c>
      <c r="G16" s="4">
        <v>2414</v>
      </c>
      <c r="H16" s="5">
        <f t="shared" si="1"/>
        <v>187.08383233532933</v>
      </c>
      <c r="I16" s="5">
        <f t="shared" si="2"/>
        <v>1095.6646706586826</v>
      </c>
      <c r="J16" s="5">
        <f t="shared" si="3"/>
        <v>7.227544910179641</v>
      </c>
      <c r="K16" s="5">
        <f t="shared" si="4"/>
        <v>25.88483844241922</v>
      </c>
      <c r="L16" s="5">
        <f t="shared" si="5"/>
        <v>151.59569179784589</v>
      </c>
    </row>
    <row r="17" spans="1:12" x14ac:dyDescent="0.2">
      <c r="B17" s="2">
        <v>15</v>
      </c>
      <c r="C17" s="13">
        <v>8</v>
      </c>
      <c r="D17" s="3">
        <v>177</v>
      </c>
      <c r="E17" s="3">
        <v>80668</v>
      </c>
      <c r="F17" s="3">
        <v>405416</v>
      </c>
      <c r="G17" s="4">
        <v>1037</v>
      </c>
      <c r="H17" s="5">
        <f t="shared" si="1"/>
        <v>455.75141242937855</v>
      </c>
      <c r="I17" s="5">
        <f t="shared" si="2"/>
        <v>2290.4858757062148</v>
      </c>
      <c r="J17" s="5">
        <f t="shared" si="3"/>
        <v>5.8587570621468927</v>
      </c>
      <c r="K17" s="5">
        <f t="shared" si="4"/>
        <v>77.789778206364517</v>
      </c>
      <c r="L17" s="5">
        <f t="shared" si="5"/>
        <v>390.95081967213116</v>
      </c>
    </row>
    <row r="18" spans="1:12" x14ac:dyDescent="0.2">
      <c r="B18" s="2">
        <v>16</v>
      </c>
      <c r="C18" s="13">
        <v>39</v>
      </c>
      <c r="D18" s="3">
        <v>328</v>
      </c>
      <c r="E18" s="3">
        <v>107153</v>
      </c>
      <c r="F18" s="3">
        <v>736310</v>
      </c>
      <c r="G18" s="4">
        <v>2480</v>
      </c>
      <c r="H18" s="5">
        <f t="shared" si="1"/>
        <v>326.6859756097561</v>
      </c>
      <c r="I18" s="5">
        <f t="shared" si="2"/>
        <v>2244.8475609756097</v>
      </c>
      <c r="J18" s="5">
        <f t="shared" si="3"/>
        <v>7.5609756097560972</v>
      </c>
      <c r="K18" s="5">
        <f t="shared" si="4"/>
        <v>43.206854838709674</v>
      </c>
      <c r="L18" s="5">
        <f t="shared" si="5"/>
        <v>296.89919354838707</v>
      </c>
    </row>
    <row r="19" spans="1:12" x14ac:dyDescent="0.2">
      <c r="B19" s="2">
        <v>17</v>
      </c>
      <c r="C19" s="13">
        <v>20</v>
      </c>
      <c r="D19" s="3">
        <v>382</v>
      </c>
      <c r="E19" s="3">
        <v>125654</v>
      </c>
      <c r="F19" s="3">
        <v>865221</v>
      </c>
      <c r="G19" s="4">
        <v>3060</v>
      </c>
      <c r="H19" s="5">
        <f t="shared" si="1"/>
        <v>328.93717277486911</v>
      </c>
      <c r="I19" s="5">
        <f t="shared" si="2"/>
        <v>2264.976439790576</v>
      </c>
      <c r="J19" s="5">
        <f t="shared" si="3"/>
        <v>8.010471204188482</v>
      </c>
      <c r="K19" s="5">
        <f t="shared" si="4"/>
        <v>41.063398692810459</v>
      </c>
      <c r="L19" s="5">
        <f t="shared" si="5"/>
        <v>282.75196078431372</v>
      </c>
    </row>
    <row r="20" spans="1:12" x14ac:dyDescent="0.2">
      <c r="B20" s="2">
        <v>18</v>
      </c>
      <c r="C20" s="13">
        <v>21</v>
      </c>
      <c r="D20" s="3">
        <v>257</v>
      </c>
      <c r="E20" s="3">
        <v>68386</v>
      </c>
      <c r="F20" s="3">
        <v>485600</v>
      </c>
      <c r="G20" s="4">
        <v>3375</v>
      </c>
      <c r="H20" s="5">
        <f t="shared" si="1"/>
        <v>266.09338521400781</v>
      </c>
      <c r="I20" s="5">
        <f t="shared" si="2"/>
        <v>1889.4941634241245</v>
      </c>
      <c r="J20" s="5">
        <f t="shared" si="3"/>
        <v>13.132295719844358</v>
      </c>
      <c r="K20" s="5">
        <f t="shared" si="4"/>
        <v>20.262518518518519</v>
      </c>
      <c r="L20" s="5">
        <f t="shared" si="5"/>
        <v>143.88148148148147</v>
      </c>
    </row>
    <row r="21" spans="1:12" x14ac:dyDescent="0.2">
      <c r="B21" s="2">
        <v>19</v>
      </c>
      <c r="C21" s="13">
        <v>17</v>
      </c>
      <c r="D21" s="3">
        <v>428</v>
      </c>
      <c r="E21" s="3">
        <v>145135</v>
      </c>
      <c r="F21" s="3">
        <v>964093</v>
      </c>
      <c r="G21" s="4">
        <v>5816</v>
      </c>
      <c r="H21" s="5">
        <f t="shared" si="1"/>
        <v>339.10046728971963</v>
      </c>
      <c r="I21" s="5">
        <f t="shared" si="2"/>
        <v>2252.5537383177571</v>
      </c>
      <c r="J21" s="5">
        <f t="shared" si="3"/>
        <v>13.588785046728972</v>
      </c>
      <c r="K21" s="5">
        <f t="shared" si="4"/>
        <v>24.954436038514444</v>
      </c>
      <c r="L21" s="5">
        <f t="shared" si="5"/>
        <v>165.76564649243466</v>
      </c>
    </row>
    <row r="22" spans="1:12" x14ac:dyDescent="0.2">
      <c r="B22" s="2">
        <v>20</v>
      </c>
      <c r="C22" s="13">
        <v>7</v>
      </c>
      <c r="D22" s="3">
        <v>531</v>
      </c>
      <c r="E22" s="3">
        <v>31159</v>
      </c>
      <c r="F22" s="3">
        <v>190048</v>
      </c>
      <c r="G22" s="4">
        <v>1493</v>
      </c>
      <c r="H22" s="5">
        <f t="shared" si="1"/>
        <v>58.679849340866291</v>
      </c>
      <c r="I22" s="5">
        <f t="shared" si="2"/>
        <v>357.90583804143125</v>
      </c>
      <c r="J22" s="5">
        <f t="shared" si="3"/>
        <v>2.8116760828625234</v>
      </c>
      <c r="K22" s="5">
        <f t="shared" si="4"/>
        <v>20.870060281312792</v>
      </c>
      <c r="L22" s="5">
        <f t="shared" si="5"/>
        <v>127.2926992632284</v>
      </c>
    </row>
    <row r="23" spans="1:12" x14ac:dyDescent="0.2">
      <c r="B23" s="2">
        <v>21</v>
      </c>
      <c r="C23" s="13">
        <v>11</v>
      </c>
      <c r="D23" s="3">
        <v>142</v>
      </c>
      <c r="E23" s="3">
        <v>27142</v>
      </c>
      <c r="F23" s="3">
        <v>175408</v>
      </c>
      <c r="G23" s="4">
        <v>1009</v>
      </c>
      <c r="H23" s="5">
        <f t="shared" si="1"/>
        <v>191.14084507042253</v>
      </c>
      <c r="I23" s="5">
        <f t="shared" si="2"/>
        <v>1235.2676056338028</v>
      </c>
      <c r="J23" s="5">
        <f t="shared" si="3"/>
        <v>7.105633802816901</v>
      </c>
      <c r="K23" s="5">
        <f t="shared" si="4"/>
        <v>26.899900891972251</v>
      </c>
      <c r="L23" s="5">
        <f t="shared" si="5"/>
        <v>173.84340931615461</v>
      </c>
    </row>
    <row r="24" spans="1:12" ht="17" thickBot="1" x14ac:dyDescent="0.25">
      <c r="B24" s="9">
        <v>22</v>
      </c>
      <c r="C24" s="13">
        <v>12</v>
      </c>
      <c r="D24" s="10">
        <v>127</v>
      </c>
      <c r="E24" s="10">
        <v>29700</v>
      </c>
      <c r="F24" s="10">
        <v>191117</v>
      </c>
      <c r="G24" s="11">
        <v>1051</v>
      </c>
      <c r="H24" s="5">
        <f t="shared" si="1"/>
        <v>233.85826771653544</v>
      </c>
      <c r="I24" s="5">
        <f t="shared" si="2"/>
        <v>1504.8582677165355</v>
      </c>
      <c r="J24" s="5">
        <f t="shared" si="3"/>
        <v>8.2755905511811019</v>
      </c>
      <c r="K24" s="5">
        <f t="shared" si="4"/>
        <v>28.258801141769744</v>
      </c>
      <c r="L24" s="5">
        <f t="shared" si="5"/>
        <v>181.84300666032351</v>
      </c>
    </row>
    <row r="25" spans="1:12" x14ac:dyDescent="0.2">
      <c r="B25" s="18" t="s">
        <v>4</v>
      </c>
      <c r="C25" s="20">
        <f>AVERAGE(C3:C24)</f>
        <v>15.681818181818182</v>
      </c>
      <c r="D25" s="20">
        <f>AVERAGE(D3:D24)</f>
        <v>305.54545454545456</v>
      </c>
      <c r="E25" s="20">
        <f t="shared" ref="E25:G25" si="6">AVERAGE(E3:E24)</f>
        <v>94800.090909090912</v>
      </c>
      <c r="F25" s="20">
        <f t="shared" si="6"/>
        <v>615517.81818181823</v>
      </c>
      <c r="G25" s="21">
        <f t="shared" si="6"/>
        <v>2726.590909090909</v>
      </c>
      <c r="H25" s="5">
        <f t="shared" si="1"/>
        <v>310.26509967271647</v>
      </c>
      <c r="I25" s="5">
        <f t="shared" si="2"/>
        <v>2014.4885450758704</v>
      </c>
      <c r="J25" s="5">
        <f t="shared" si="3"/>
        <v>8.9236834275513228</v>
      </c>
      <c r="K25" s="5">
        <f t="shared" si="4"/>
        <v>34.768725514712017</v>
      </c>
      <c r="L25" s="5">
        <f t="shared" si="5"/>
        <v>225.74630324247732</v>
      </c>
    </row>
    <row r="26" spans="1:12" ht="17" thickBot="1" x14ac:dyDescent="0.25">
      <c r="B26" s="19" t="s">
        <v>5</v>
      </c>
      <c r="C26" s="22">
        <f>SUM(C3:C24)</f>
        <v>345</v>
      </c>
      <c r="D26" s="22">
        <f>SUM(D3:D24)</f>
        <v>6722</v>
      </c>
      <c r="E26" s="22">
        <f t="shared" ref="E26:G26" si="7">SUM(E3:E24)</f>
        <v>2085602</v>
      </c>
      <c r="F26" s="22">
        <f t="shared" si="7"/>
        <v>13541392</v>
      </c>
      <c r="G26" s="23">
        <f t="shared" si="7"/>
        <v>59985</v>
      </c>
      <c r="H26" s="5">
        <f t="shared" si="1"/>
        <v>310.26509967271647</v>
      </c>
      <c r="I26" s="5">
        <f t="shared" si="2"/>
        <v>2014.4885450758702</v>
      </c>
      <c r="J26" s="5">
        <f t="shared" si="3"/>
        <v>8.9236834275513246</v>
      </c>
      <c r="K26" s="5">
        <f t="shared" si="4"/>
        <v>34.76872551471201</v>
      </c>
      <c r="L26" s="5">
        <f t="shared" si="5"/>
        <v>225.7463032424773</v>
      </c>
    </row>
    <row r="27" spans="1:12" s="5" customFormat="1" x14ac:dyDescent="0.2">
      <c r="A27" s="8"/>
      <c r="B27" s="26" t="s">
        <v>9</v>
      </c>
      <c r="C27" s="8">
        <f>+F26/C26</f>
        <v>39250.411594202902</v>
      </c>
      <c r="D27" s="8"/>
      <c r="E27" s="8">
        <f>+E25/$D25</f>
        <v>310.26509967271647</v>
      </c>
      <c r="F27" s="8">
        <f>+F25/$D25</f>
        <v>2014.4885450758704</v>
      </c>
      <c r="G27" s="8">
        <f>+G25/$D25</f>
        <v>8.9236834275513228</v>
      </c>
    </row>
    <row r="28" spans="1:12" s="24" customFormat="1" x14ac:dyDescent="0.2">
      <c r="B28" s="25"/>
      <c r="C28" s="24" t="s">
        <v>18</v>
      </c>
      <c r="E28" s="24" t="s">
        <v>8</v>
      </c>
      <c r="F28" s="24" t="s">
        <v>15</v>
      </c>
      <c r="G28" s="24" t="s">
        <v>7</v>
      </c>
      <c r="H28" s="28"/>
    </row>
    <row r="29" spans="1:12" s="24" customFormat="1" x14ac:dyDescent="0.2">
      <c r="B29" s="25"/>
      <c r="H29" s="28"/>
    </row>
    <row r="30" spans="1:12" s="24" customFormat="1" x14ac:dyDescent="0.2">
      <c r="B30" s="24" t="s">
        <v>6</v>
      </c>
      <c r="F30" s="25"/>
      <c r="H30" s="28" t="s">
        <v>13</v>
      </c>
    </row>
    <row r="31" spans="1:12" x14ac:dyDescent="0.2">
      <c r="F31" s="6">
        <f>+E26/C26</f>
        <v>6045.2231884057974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Stahl</dc:creator>
  <cp:lastModifiedBy>Gerry Stahl</cp:lastModifiedBy>
  <dcterms:created xsi:type="dcterms:W3CDTF">2026-01-14T07:54:25Z</dcterms:created>
  <dcterms:modified xsi:type="dcterms:W3CDTF">2026-02-22T03:50:13Z</dcterms:modified>
</cp:coreProperties>
</file>